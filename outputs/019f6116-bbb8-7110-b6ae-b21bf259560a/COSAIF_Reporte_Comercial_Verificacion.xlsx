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Naturales" state="visible" r:id="rId5"/>
    <sheet sheetId="3" name="Arrastre" state="visible" r:id="rId6"/>
    <sheet sheetId="4" name="Tendencia del periodo" state="visible" r:id="rId7"/>
    <sheet sheetId="5" name="Volumen por patio" state="visible" r:id="rId8"/>
    <sheet sheetId="6" name="Cartera de clientes" state="visible" r:id="rId9"/>
    <sheet sheetId="7" name="Contratos" state="visible" r:id="rId10"/>
    <sheet sheetId="8" name="Cumplimiento contractual" state="visible" r:id="rId11"/>
    <sheet sheetId="9" name="Cortes y estados" state="visible" r:id="rId12"/>
    <sheet sheetId="10" name="Control financiero" state="visible" r:id="rId13"/>
    <sheet sheetId="11" name="Detalle financiero" state="visible" r:id="rId14"/>
    <sheet sheetId="12" name="Excedentes cobrables" state="visible" r:id="rId15"/>
    <sheet sheetId="13" name="Pagos registrados" state="visible" r:id="rId16"/>
    <sheet sheetId="14" name="Historial de cortes" state="visible" r:id="rId17"/>
    <sheet sheetId="15" name="Operaciones auditables" state="visible" r:id="rId18"/>
    <sheet sheetId="16" name="Guía del archivo" state="visible" r:id="rId19"/>
  </sheets>
  <calcPr calcId="171027" fullCalcOnLoad="1"/>
</workbook>
</file>

<file path=xl/sharedStrings.xml><?xml version="1.0" encoding="utf-8"?>
<sst xmlns="http://schemas.openxmlformats.org/spreadsheetml/2006/main" count="567" uniqueCount="242">
  <si>
    <t>COSAIF Comercial · Alstom</t>
  </si>
  <si>
    <t>Periodo analizado: enero de 2026 · diciembre de 2026</t>
  </si>
  <si>
    <r>
      <rPr>
        <b/>
        <color rgb="FF64748B"/>
        <sz val="9"/>
        <rFont val="Aptos"/>
      </rPr>
      <t xml:space="preserve">VOLUMEN CONSOLIDADO
</t>
    </r>
    <r>
      <rPr>
        <b/>
        <color rgb="FF0F172A"/>
        <sz val="20"/>
        <rFont val="Aptos Display"/>
      </rPr>
      <t>210</t>
    </r>
  </si>
  <si>
    <r>
      <rPr>
        <b/>
        <color rgb="FF64748B"/>
        <sz val="9"/>
        <rFont val="Aptos"/>
      </rPr>
      <t xml:space="preserve">CUMPLIMIENTO
</t>
    </r>
    <r>
      <rPr>
        <b/>
        <color rgb="FF059669"/>
        <sz val="20"/>
        <rFont val="Aptos Display"/>
      </rPr>
      <t>90.5%</t>
    </r>
  </si>
  <si>
    <r>
      <rPr>
        <b/>
        <color rgb="FF64748B"/>
        <sz val="9"/>
        <rFont val="Aptos"/>
      </rPr>
      <t xml:space="preserve">CAMBIO VS PERIODO ANTERIOR
</t>
    </r>
    <r>
      <rPr>
        <b/>
        <color rgb="FF059669"/>
        <sz val="20"/>
        <rFont val="Aptos Display"/>
      </rPr>
      <t>+12.5%</t>
    </r>
  </si>
  <si>
    <r>
      <rPr>
        <b/>
        <color rgb="FF64748B"/>
        <sz val="9"/>
        <rFont val="Aptos"/>
      </rPr>
      <t xml:space="preserve">INCIDENTES POR 100
</t>
    </r>
    <r>
      <rPr>
        <b/>
        <color rgb="FF059669"/>
        <sz val="20"/>
        <rFont val="Aptos Display"/>
      </rPr>
      <t>0.0</t>
    </r>
  </si>
  <si>
    <r>
      <rPr>
        <b/>
        <color rgb="FF64748B"/>
        <sz val="9"/>
        <rFont val="Aptos"/>
      </rPr>
      <t xml:space="preserve">MOVIMIENTOS NATURALES
</t>
    </r>
    <r>
      <rPr>
        <b/>
        <color rgb="FF047857"/>
        <sz val="20"/>
        <rFont val="Aptos Display"/>
      </rPr>
      <t>135</t>
    </r>
  </si>
  <si>
    <r>
      <rPr>
        <b/>
        <color rgb="FF64748B"/>
        <sz val="9"/>
        <rFont val="Aptos"/>
      </rPr>
      <t xml:space="preserve">SOLICITUDES DE ARRASTRE
</t>
    </r>
    <r>
      <rPr>
        <b/>
        <color rgb="FF2563EB"/>
        <sz val="20"/>
        <rFont val="Aptos Display"/>
      </rPr>
      <t>20</t>
    </r>
  </si>
  <si>
    <r>
      <rPr>
        <b/>
        <color rgb="FF64748B"/>
        <sz val="9"/>
        <rFont val="Aptos"/>
      </rPr>
      <t xml:space="preserve">CLIENTE PRINCIPAL NATURAL
</t>
    </r>
    <r>
      <rPr>
        <b/>
        <color rgb="FF047857"/>
        <sz val="20"/>
        <rFont val="Aptos Display"/>
      </rPr>
      <t>Alstom · 100.0%</t>
    </r>
  </si>
  <si>
    <r>
      <rPr>
        <b/>
        <color rgb="FF64748B"/>
        <sz val="9"/>
        <rFont val="Aptos"/>
      </rPr>
      <t xml:space="preserve">CLIENTE PRINCIPAL ARRASTRE
</t>
    </r>
    <r>
      <rPr>
        <b/>
        <color rgb="FF2563EB"/>
        <sz val="20"/>
        <rFont val="Aptos Display"/>
      </rPr>
      <t>Alstom · 375.0%</t>
    </r>
  </si>
  <si>
    <r>
      <rPr>
        <b/>
        <color rgb="FF64748B"/>
        <sz val="9"/>
        <rFont val="Aptos"/>
      </rPr>
      <t xml:space="preserve">TASA DE CANCELACIÓN
</t>
    </r>
    <r>
      <rPr>
        <b/>
        <color rgb="FF059669"/>
        <sz val="20"/>
        <rFont val="Aptos Display"/>
      </rPr>
      <t>1.9%</t>
    </r>
  </si>
  <si>
    <r>
      <rPr>
        <b/>
        <color rgb="FF64748B"/>
        <sz val="9"/>
        <rFont val="Aptos"/>
      </rPr>
      <t xml:space="preserve">VAGONES MOVILIZADOS
</t>
    </r>
    <r>
      <rPr>
        <b/>
        <color rgb="FF7C3AED"/>
        <sz val="20"/>
        <rFont val="Aptos Display"/>
      </rPr>
      <t>0</t>
    </r>
  </si>
  <si>
    <t>EVOLUCIÓN COMPARATIVA · NATURALES, ARRASTRE Y SERVICIOS</t>
  </si>
  <si>
    <t>Datos de gráfica nativa</t>
  </si>
  <si>
    <t>Periodo</t>
  </si>
  <si>
    <t>Natural</t>
  </si>
  <si>
    <t>Arrastre</t>
  </si>
  <si>
    <t>Lavado</t>
  </si>
  <si>
    <t>Torneado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</si>
  <si>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</si>
  <si>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</si>
  <si>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</si>
  <si>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</si>
  <si>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</si>
  <si>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</si>
  <si>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</si>
  <si>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</si>
  <si>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</si>
  <si>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</si>
  <si>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</si>
  <si>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</si>
  <si>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Naturales</t>
  </si>
  <si>
    <t>enero de 2026 · diciembre de 2026 · Unidad de negocio independiente</t>
  </si>
  <si>
    <r>
      <rPr>
        <b/>
        <color rgb="FF64748B"/>
        <sz val="9"/>
        <rFont val="Aptos"/>
      </rPr>
      <t xml:space="preserve">CONCLUIDOS
</t>
    </r>
    <r>
      <rPr>
        <b/>
        <color rgb="FF059669"/>
        <sz val="20"/>
        <rFont val="Aptos Display"/>
      </rPr>
      <t>135</t>
    </r>
  </si>
  <si>
    <r>
      <rPr>
        <b/>
        <color rgb="FF64748B"/>
        <sz val="9"/>
        <rFont val="Aptos"/>
      </rPr>
      <t xml:space="preserve">CANCELADOS
</t>
    </r>
    <r>
      <rPr>
        <b/>
        <color rgb="FF059669"/>
        <sz val="20"/>
        <rFont val="Aptos Display"/>
      </rPr>
      <t>0</t>
    </r>
  </si>
  <si>
    <r>
      <rPr>
        <b/>
        <color rgb="FF64748B"/>
        <sz val="9"/>
        <rFont val="Aptos"/>
      </rPr>
      <t xml:space="preserve">CUMPLIMIENTO
</t>
    </r>
    <r>
      <rPr>
        <b/>
        <color rgb="FF059669"/>
        <sz val="20"/>
        <rFont val="Aptos Display"/>
      </rPr>
      <t>100.0%</t>
    </r>
  </si>
  <si>
    <r>
      <rPr>
        <b/>
        <color rgb="FF64748B"/>
        <sz val="9"/>
        <rFont val="Aptos"/>
      </rPr>
      <t xml:space="preserve">LAVADOS CONCLUIDOS
</t>
    </r>
    <r>
      <rPr>
        <b/>
        <color rgb="FF0891B2"/>
        <sz val="20"/>
        <rFont val="Aptos Display"/>
      </rPr>
      <t>18</t>
    </r>
  </si>
  <si>
    <r>
      <rPr>
        <b/>
        <color rgb="FF64748B"/>
        <sz val="9"/>
        <rFont val="Aptos"/>
      </rPr>
      <t xml:space="preserve">TORNEADOS CONCLUIDOS
</t>
    </r>
    <r>
      <rPr>
        <b/>
        <color rgb="FFD97706"/>
        <sz val="20"/>
        <rFont val="Aptos Display"/>
      </rPr>
      <t>9</t>
    </r>
  </si>
  <si>
    <r>
      <rPr>
        <b/>
        <color rgb="FF64748B"/>
        <sz val="9"/>
        <rFont val="Aptos"/>
      </rPr>
      <t xml:space="preserve">INCIDENTES
</t>
    </r>
    <r>
      <rPr>
        <b/>
        <color rgb="FFE11D48"/>
        <sz val="20"/>
        <rFont val="Aptos Display"/>
      </rPr>
      <t>2</t>
    </r>
  </si>
  <si>
    <r>
      <rPr>
        <b/>
        <color rgb="FF64748B"/>
        <sz val="9"/>
        <rFont val="Aptos"/>
      </rPr>
      <t xml:space="preserve">DETENIDOS
</t>
    </r>
    <r>
      <rPr>
        <b/>
        <color rgb="FF059669"/>
        <sz val="20"/>
        <rFont val="Aptos Display"/>
      </rPr>
      <t>0</t>
    </r>
  </si>
  <si>
    <t>OPERACIÓN CONTROLADA · Alstom concentra 100.0% del volumen · Cancelación 0.0%</t>
  </si>
  <si>
    <t>Movimientos naturales</t>
  </si>
  <si>
    <t>Lavados</t>
  </si>
  <si>
    <t>Torneados</t>
  </si>
  <si>
    <t>CLIENTES DE NATURALES</t>
  </si>
  <si>
    <t>DISTRIBUCIÓN POR PATIO</t>
  </si>
  <si>
    <t>Cliente</t>
  </si>
  <si>
    <t>Volumen</t>
  </si>
  <si>
    <t>% segmento</t>
  </si>
  <si>
    <t>Patio</t>
  </si>
  <si>
    <t>Alstom</t>
  </si>
  <si>
    <t>Torreon</t>
  </si>
  <si>
    <r>
      <rPr>
        <b/>
        <color rgb="FF64748B"/>
        <sz val="9"/>
        <rFont val="Aptos"/>
      </rPr>
      <t xml:space="preserve">CONCLUIDOS
</t>
    </r>
    <r>
      <rPr>
        <b/>
        <color rgb="FF059669"/>
        <sz val="20"/>
        <rFont val="Aptos Display"/>
      </rPr>
      <t>18</t>
    </r>
  </si>
  <si>
    <r>
      <rPr>
        <b/>
        <color rgb="FF64748B"/>
        <sz val="9"/>
        <rFont val="Aptos"/>
      </rPr>
      <t xml:space="preserve">CANCELADOS
</t>
    </r>
    <r>
      <rPr>
        <b/>
        <color rgb="FFE11D48"/>
        <sz val="20"/>
        <rFont val="Aptos Display"/>
      </rPr>
      <t>2</t>
    </r>
  </si>
  <si>
    <r>
      <rPr>
        <b/>
        <color rgb="FF64748B"/>
        <sz val="9"/>
        <rFont val="Aptos"/>
      </rPr>
      <t xml:space="preserve">CUMPLIMIENTO
</t>
    </r>
    <r>
      <rPr>
        <b/>
        <color rgb="FF059669"/>
        <sz val="20"/>
        <rFont val="Aptos Display"/>
      </rPr>
      <t>90.0%</t>
    </r>
  </si>
  <si>
    <r>
      <rPr>
        <b/>
        <color rgb="FF64748B"/>
        <sz val="9"/>
        <rFont val="Aptos"/>
      </rPr>
      <t xml:space="preserve">VAGONES POR ARRASTRE
</t>
    </r>
    <r>
      <rPr>
        <b/>
        <color rgb="FFD97706"/>
        <sz val="20"/>
        <rFont val="Aptos Display"/>
      </rPr>
      <t>0.0</t>
    </r>
  </si>
  <si>
    <r>
      <rPr>
        <b/>
        <color rgb="FF64748B"/>
        <sz val="9"/>
        <rFont val="Aptos"/>
      </rPr>
      <t xml:space="preserve">INCIDENTES
</t>
    </r>
    <r>
      <rPr>
        <b/>
        <color rgb="FFE11D48"/>
        <sz val="20"/>
        <rFont val="Aptos Display"/>
      </rPr>
      <t>1</t>
    </r>
  </si>
  <si>
    <t>OPERACIÓN CONTROLADA · Alstom concentra 375.0% del volumen · Cancelación 10.0%</t>
  </si>
  <si>
    <t>Solicitudes de arrastre</t>
  </si>
  <si>
    <t>Vagones</t>
  </si>
  <si>
    <t>CLIENTES DE ARRASTRE</t>
  </si>
  <si>
    <t>Arrastres</t>
  </si>
  <si>
    <t>Total</t>
  </si>
  <si>
    <t>Concluidas</t>
  </si>
  <si>
    <t>Canceladas</t>
  </si>
  <si>
    <t>Folio</t>
  </si>
  <si>
    <t>Contrato</t>
  </si>
  <si>
    <t>Estado</t>
  </si>
  <si>
    <t>Inicio</t>
  </si>
  <si>
    <t>Fin</t>
  </si>
  <si>
    <t>Corte</t>
  </si>
  <si>
    <t>Monto por periodo</t>
  </si>
  <si>
    <t>Orden de compra</t>
  </si>
  <si>
    <t>Regla automática</t>
  </si>
  <si>
    <t>ALT-2026</t>
  </si>
  <si>
    <t>Contrato Alstom</t>
  </si>
  <si>
    <t>VIGENTE</t>
  </si>
  <si>
    <t>Día 25</t>
  </si>
  <si>
    <t>3 vagones · MENSUAL · CONCLUIDO</t>
  </si>
  <si>
    <t>RESERVADO-2026</t>
  </si>
  <si>
    <t>Contrato sin monto publicado</t>
  </si>
  <si>
    <t>Fin de mes</t>
  </si>
  <si>
    <t>MOVIMIENTO · MENSUAL · CONCLUIDO</t>
  </si>
  <si>
    <t>Mes</t>
  </si>
  <si>
    <t>Estado contrato</t>
  </si>
  <si>
    <t>Regla del contrato</t>
  </si>
  <si>
    <t>Servicio</t>
  </si>
  <si>
    <t>Operación</t>
  </si>
  <si>
    <t>Unidad</t>
  </si>
  <si>
    <t>Periodicidad</t>
  </si>
  <si>
    <t>Estados cobrables</t>
  </si>
  <si>
    <t>Incluido</t>
  </si>
  <si>
    <t>Consumido</t>
  </si>
  <si>
    <t>% consumo</t>
  </si>
  <si>
    <t>Excedente</t>
  </si>
  <si>
    <t>Estado corte</t>
  </si>
  <si>
    <t>Semáforo</t>
  </si>
  <si>
    <t>enero de 2026</t>
  </si>
  <si>
    <t>Arrastre mensual</t>
  </si>
  <si>
    <t>ARRASTRE</t>
  </si>
  <si>
    <t>vagones</t>
  </si>
  <si>
    <t>MENSUAL</t>
  </si>
  <si>
    <t>CONCLUIDO</t>
  </si>
  <si>
    <t>PRE-ALT-2026-2026-01</t>
  </si>
  <si>
    <t>CALCULADO</t>
  </si>
  <si>
    <t>EN RANGO</t>
  </si>
  <si>
    <t>Lavado extra</t>
  </si>
  <si>
    <t>servicios</t>
  </si>
  <si>
    <t>Servicio reservado</t>
  </si>
  <si>
    <t>NATURAL</t>
  </si>
  <si>
    <t>movimientos</t>
  </si>
  <si>
    <t>CORTE-RES-01</t>
  </si>
  <si>
    <t>APROBADO</t>
  </si>
  <si>
    <t>SIN LIMITE</t>
  </si>
  <si>
    <t>diciembre de 2026</t>
  </si>
  <si>
    <t>CORTE-12</t>
  </si>
  <si>
    <t>PAGADO</t>
  </si>
  <si>
    <t>EXCEDIDO</t>
  </si>
  <si>
    <t>PRE-RESERVADO-2026-2026-12</t>
  </si>
  <si>
    <t>Mes clave</t>
  </si>
  <si>
    <t>Servicios</t>
  </si>
  <si>
    <t>Avance</t>
  </si>
  <si>
    <t>Progreso contrato</t>
  </si>
  <si>
    <t>Origen</t>
  </si>
  <si>
    <t>Periodo inicio</t>
  </si>
  <si>
    <t>Periodo fin</t>
  </si>
  <si>
    <t>Fecha corte</t>
  </si>
  <si>
    <t>Vencimiento</t>
  </si>
  <si>
    <t>Cobrables</t>
  </si>
  <si>
    <t>Excedentes</t>
  </si>
  <si>
    <t>Factura</t>
  </si>
  <si>
    <t>Información económica</t>
  </si>
  <si>
    <t>Monto oficial</t>
  </si>
  <si>
    <t>Cobrado</t>
  </si>
  <si>
    <t>Saldo</t>
  </si>
  <si>
    <t>Aprobó usuario</t>
  </si>
  <si>
    <t>Aprobado el</t>
  </si>
  <si>
    <t>Última edición por</t>
  </si>
  <si>
    <t>Última edición</t>
  </si>
  <si>
    <t>2026-01</t>
  </si>
  <si>
    <t>ALT-2026 · Contrato Alstom</t>
  </si>
  <si>
    <t>Arrastre, Lavado</t>
  </si>
  <si>
    <t>EN PROCESO</t>
  </si>
  <si>
    <t>0 de 4</t>
  </si>
  <si>
    <t>1 de 2 cobrados</t>
  </si>
  <si>
    <t>ESPERADO</t>
  </si>
  <si>
    <t>CAPTURADO</t>
  </si>
  <si>
    <t>RESERVADO-2026 · Contrato sin monto publicado</t>
  </si>
  <si>
    <t>2 de 4</t>
  </si>
  <si>
    <t>0 de 2 cobrados</t>
  </si>
  <si>
    <t>GUARDADO</t>
  </si>
  <si>
    <t>OPCIONAL / NO CAPTURADO</t>
  </si>
  <si>
    <t>2026-12</t>
  </si>
  <si>
    <t>COBRADO</t>
  </si>
  <si>
    <t>4 de 4</t>
  </si>
  <si>
    <t>F-100</t>
  </si>
  <si>
    <t>Control financiero y avance</t>
  </si>
  <si>
    <t>Meses incluidos: enero de 2026 · diciembre de 2026 · Valores no capturados permanecen vacíos y no bloquean el estado</t>
  </si>
  <si>
    <t>Cortes contrato-mes</t>
  </si>
  <si>
    <t>Cantidad</t>
  </si>
  <si>
    <t>Cortes cobrados</t>
  </si>
  <si>
    <t>BORRADOR</t>
  </si>
  <si>
    <t>% cobrados</t>
  </si>
  <si>
    <t>EN_REVISION</t>
  </si>
  <si>
    <t>FACTURADO</t>
  </si>
  <si>
    <t>PARCIAL</t>
  </si>
  <si>
    <t>Sin monto capturado</t>
  </si>
  <si>
    <t>CANCELADO</t>
  </si>
  <si>
    <t>Control: los estados administrativos son independientes del monto. Un corte puede avanzar y cerrarse con información económica opcional; la hoja Historial de cortes conserva quién, cuándo y qué cambió.</t>
  </si>
  <si>
    <t>Regla</t>
  </si>
  <si>
    <t>Tarifa excedente</t>
  </si>
  <si>
    <t>Base servicio</t>
  </si>
  <si>
    <t>Monto extra</t>
  </si>
  <si>
    <t>Importe servicio</t>
  </si>
  <si>
    <t>Total oficial corte</t>
  </si>
  <si>
    <t>Cobrado corte</t>
  </si>
  <si>
    <t>Saldo corte</t>
  </si>
  <si>
    <t>ID movimiento</t>
  </si>
  <si>
    <t>Referencia</t>
  </si>
  <si>
    <t>Solicitante</t>
  </si>
  <si>
    <t>Solicitud</t>
  </si>
  <si>
    <t>Vía origen</t>
  </si>
  <si>
    <t>Vía destino</t>
  </si>
  <si>
    <t>Fuera de rango</t>
  </si>
  <si>
    <t>Tarifa</t>
  </si>
  <si>
    <t>Importe</t>
  </si>
  <si>
    <t>TORREON-1</t>
  </si>
  <si>
    <t>Arrastre #1</t>
  </si>
  <si>
    <t>Cliente Alstom</t>
  </si>
  <si>
    <t>Vía Arrastre A</t>
  </si>
  <si>
    <t>Vía Arrastre B</t>
  </si>
  <si>
    <t>ID pago</t>
  </si>
  <si>
    <t>Fecha de pago</t>
  </si>
  <si>
    <t>Monto</t>
  </si>
  <si>
    <t>Método</t>
  </si>
  <si>
    <t>Registró usuario</t>
  </si>
  <si>
    <t>Registrado el</t>
  </si>
  <si>
    <t>TRANSFERENCIA-81</t>
  </si>
  <si>
    <t>SPEI</t>
  </si>
  <si>
    <t>Acción</t>
  </si>
  <si>
    <t>Estado anterior</t>
  </si>
  <si>
    <t>Estado nuevo</t>
  </si>
  <si>
    <t>Usuario</t>
  </si>
  <si>
    <t>ID usuario</t>
  </si>
  <si>
    <t>Rol</t>
  </si>
  <si>
    <t>Fecha</t>
  </si>
  <si>
    <t>Cambios</t>
  </si>
  <si>
    <t>ACTUALIZAR_ESTADO</t>
  </si>
  <si>
    <t>María Comercial</t>
  </si>
  <si>
    <t>COMERCIAL</t>
  </si>
  <si>
    <t>estado: FACTURADO → PAGADO | Pago 7250.00 · ref. TRANSFERENCIA-81</t>
  </si>
  <si>
    <t>Fuente</t>
  </si>
  <si>
    <t>Tipo</t>
  </si>
  <si>
    <t>Locomotora</t>
  </si>
  <si>
    <t>Finalización</t>
  </si>
  <si>
    <t>Incidentes</t>
  </si>
  <si>
    <t>TORREON</t>
  </si>
  <si>
    <t>MOVIMIENTO, LAVADO</t>
  </si>
  <si>
    <t>Hoja / concepto</t>
  </si>
  <si>
    <t>Cómo leerlo</t>
  </si>
  <si>
    <t>Resumen</t>
  </si>
  <si>
    <t>Indicadores y gráfica nativa editable del periodo y patio seleccionados.</t>
  </si>
  <si>
    <t>Unidad de negocio independiente: clientes de movimientos naturales, cumplimiento, cancelación, incidentes, lavado y torneado.</t>
  </si>
  <si>
    <t>Unidad de negocio exclusiva de Torreón: clientes, solicitudes, vagones, promedio por solicitud, cumplimiento e incidentes.</t>
  </si>
  <si>
    <t>Contratos</t>
  </si>
  <si>
    <t>Es la fuente de verdad comercial: vigencia, monto por periodo, día de corte y regla automática.</t>
  </si>
  <si>
    <t>Cumplimiento contractual</t>
  </si>
  <si>
    <t>Compara movimientos reales contra la regla que nace del contrato y cuenta solo los estados cobrables configurados.</t>
  </si>
  <si>
    <t>Cortes y estados</t>
  </si>
  <si>
    <t>Muestra cada contrato-mes, su avance revisión → aprobado → facturado → cobrado, factura, progreso, monto opcional, cobrado y saldo.</t>
  </si>
  <si>
    <t>Control financiero</t>
  </si>
  <si>
    <t>Resumen formulado desde la hoja Cortes y estados; permite reconciliar cortes, estados, montos, cobros y saldos.</t>
  </si>
  <si>
    <t>Detalle financiero</t>
  </si>
  <si>
    <t>Divide monto base y servicios extra por Naturales, Arrastre, Lavado o Torno, con tarifa, excedente e importe.</t>
  </si>
  <si>
    <t>Excedentes cobrables</t>
  </si>
  <si>
    <t>Justifica cada operación fuera de rango con ID, solicitante, fechas, vías, cantidad, tarifa e importe.</t>
  </si>
  <si>
    <t>Pagos registrados</t>
  </si>
  <si>
    <t>Lista pagos, referencias, métodos, fechas y usuario que los registró.</t>
  </si>
  <si>
    <t>Historial de cortes</t>
  </si>
  <si>
    <t>Bitácora de edición: acción, estado anterior y nuevo, usuario, fecha y valores modificados.</t>
  </si>
  <si>
    <t>Fuente de verdad</t>
  </si>
  <si>
    <t>Los datos operativos son de solo lectura. Contratos, reglas automáticas y cortes pertenecen a msComercial.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</si>
</sst>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dd/mmm/yyyy"/>
    <numFmt numFmtId="166" formatCode="$#,##0.00"/>
    <numFmt numFmtId="167" formatCode="dd/mmm/yyyy hh:mm"/>
  </numFmts>
  <fonts count="22" x14ac:knownFonts="1">
    <font>
      <color theme="1"/>
      <family val="2"/>
      <scheme val="minor"/>
      <sz val="11"/>
      <name val="Calibri"/>
    </font>
    <font>
      <b/>
      <color rgb="FFFFFFFF"/>
      <sz val="22"/>
      <name val="Aptos Display"/>
    </font>
    <font>
      <i/>
      <color rgb="FF64748B"/>
      <sz val="10"/>
      <name val="Aptos"/>
    </font>
    <font>
      <b/>
      <color rgb="FF0F172A"/>
      <sz val="12"/>
    </font>
    <font>
      <i/>
      <color rgb="FF64748B"/>
      <sz val="9"/>
      <name val="Aptos"/>
    </font>
    <font>
      <b/>
      <color rgb="FF0F172A"/>
    </font>
    <font>
      <b/>
      <color rgb="FFFFFFFF"/>
    </font>
    <font>
      <color rgb="FF334155"/>
      <sz val="9"/>
      <name val="Aptos"/>
    </font>
    <font>
      <color rgb="FF0F172A"/>
      <sz val="9"/>
      <name val="Aptos"/>
    </font>
    <font>
      <b/>
      <color rgb="FFFFFFFF"/>
      <sz val="11"/>
    </font>
    <font>
      <b/>
      <color rgb="FFFFFFFF"/>
      <sz val="10"/>
      <name val="Aptos"/>
    </font>
    <font>
      <color rgb="FF0F172A"/>
      <sz val="10"/>
      <name val="Aptos"/>
    </font>
    <font>
      <b/>
      <color rgb="FF065F46"/>
    </font>
    <font>
      <b/>
      <color rgb="FF1E40AF"/>
    </font>
    <font>
      <b/>
      <color rgb="FF334155"/>
      <sz val="10"/>
      <name val="Aptos"/>
    </font>
    <font>
      <b/>
      <color rgb="FF2563EB"/>
      <sz val="16"/>
      <name val="Aptos Display"/>
    </font>
    <font>
      <b/>
      <color rgb="FF059669"/>
      <sz val="16"/>
      <name val="Aptos Display"/>
    </font>
    <font>
      <b/>
      <color rgb="FF047857"/>
      <sz val="16"/>
      <name val="Aptos Display"/>
    </font>
    <font>
      <b/>
      <color rgb="FF334155"/>
      <sz val="16"/>
      <name val="Aptos Display"/>
    </font>
    <font>
      <b/>
      <color rgb="FFD97706"/>
      <sz val="16"/>
      <name val="Aptos Display"/>
    </font>
    <font>
      <b/>
      <color rgb="FF0891B2"/>
      <sz val="16"/>
      <name val="Aptos Display"/>
    </font>
    <font>
      <i/>
      <color rgb="FF64748B"/>
    </font>
  </fonts>
  <fills count="1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E2E8F0"/>
      </patternFill>
    </fill>
    <fill>
      <patternFill patternType="solid">
        <fgColor rgb="FF059669"/>
      </patternFill>
    </fill>
    <fill>
      <patternFill patternType="solid">
        <fgColor rgb="FF2563EB"/>
      </patternFill>
    </fill>
    <fill>
      <patternFill patternType="solid">
        <fgColor rgb="FF0891B2"/>
      </patternFill>
    </fill>
    <fill>
      <patternFill patternType="solid">
        <fgColor rgb="FFD97706"/>
      </patternFill>
    </fill>
    <fill>
      <patternFill patternType="solid">
        <fgColor rgb="FFFFFFFF"/>
      </patternFill>
    </fill>
    <fill>
      <patternFill patternType="solid">
        <fgColor rgb="FF047857"/>
      </patternFill>
    </fill>
    <fill>
      <patternFill patternType="solid">
        <fgColor rgb="FF7C3AED"/>
      </patternFill>
    </fill>
    <fill>
      <patternFill patternType="solid">
        <fgColor rgb="FF334155"/>
      </patternFill>
    </fill>
    <fill>
      <patternFill patternType="solid">
        <fgColor rgb="FFE11D48"/>
      </patternFill>
    </fill>
    <fill>
      <patternFill patternType="solid">
        <fgColor rgb="FFD1FAE5"/>
      </patternFill>
    </fill>
    <fill>
      <patternFill patternType="solid">
        <fgColor rgb="FFDBEAFE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047857"/>
      </bottom>
      <diagonal/>
    </border>
    <border>
      <left style="medium">
        <color rgb="FF0F172A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059669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047857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2563EB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7C3AED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0891B2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D97706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E11D48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medium">
        <color rgb="FF047857"/>
      </bottom>
      <diagonal/>
    </border>
    <border>
      <left/>
      <right/>
      <top/>
      <bottom style="hair">
        <color rgb="FFE2E8F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4" borderId="0" xfId="0" applyFont="1" applyFill="1"/>
    <xf numFmtId="0" fontId="6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7" fillId="3" borderId="0" xfId="0" applyFont="1" applyFill="1"/>
    <xf numFmtId="3" fontId="8" fillId="0" borderId="0" xfId="0" applyNumberFormat="1" applyFont="1" applyAlignment="1">
      <alignment horizontal="right"/>
    </xf>
    <xf numFmtId="0" fontId="7" fillId="9" borderId="0" xfId="0" applyFont="1" applyFill="1"/>
    <xf numFmtId="0" fontId="0" fillId="3" borderId="7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3" borderId="9" xfId="0" applyFill="1" applyBorder="1" applyAlignment="1">
      <alignment vertical="center" wrapText="1"/>
    </xf>
    <xf numFmtId="0" fontId="9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/>
    </xf>
    <xf numFmtId="0" fontId="5" fillId="3" borderId="0" xfId="0" applyFont="1" applyFill="1"/>
    <xf numFmtId="164" fontId="0" fillId="0" borderId="0" xfId="0" applyNumberFormat="1"/>
    <xf numFmtId="0" fontId="6" fillId="11" borderId="0" xfId="0" applyFont="1" applyFill="1" applyAlignment="1">
      <alignment horizontal="center"/>
    </xf>
    <xf numFmtId="0" fontId="10" fillId="12" borderId="10" xfId="0" applyFont="1" applyFill="1" applyBorder="1" applyAlignment="1">
      <alignment horizontal="left" vertical="center"/>
    </xf>
    <xf numFmtId="0" fontId="0" fillId="3" borderId="0" xfId="0" applyFill="1"/>
    <xf numFmtId="0" fontId="11" fillId="3" borderId="11" xfId="0" applyFont="1" applyFill="1" applyBorder="1" applyAlignment="1">
      <alignment vertical="center"/>
    </xf>
    <xf numFmtId="0" fontId="11" fillId="0" borderId="11" xfId="0" applyFont="1" applyBorder="1" applyAlignment="1">
      <alignment vertical="center"/>
    </xf>
    <xf numFmtId="165" fontId="0" fillId="0" borderId="0" xfId="0" applyNumberFormat="1"/>
    <xf numFmtId="166" fontId="0" fillId="0" borderId="0" xfId="0" applyNumberFormat="1"/>
    <xf numFmtId="165" fontId="10" fillId="12" borderId="10" xfId="0" applyNumberFormat="1" applyFont="1" applyFill="1" applyBorder="1" applyAlignment="1">
      <alignment horizontal="left" vertical="center"/>
    </xf>
    <xf numFmtId="166" fontId="10" fillId="12" borderId="10" xfId="0" applyNumberFormat="1" applyFont="1" applyFill="1" applyBorder="1" applyAlignment="1">
      <alignment horizontal="left" vertical="center"/>
    </xf>
    <xf numFmtId="165" fontId="11" fillId="3" borderId="11" xfId="0" applyNumberFormat="1" applyFont="1" applyFill="1" applyBorder="1" applyAlignment="1">
      <alignment vertical="center"/>
    </xf>
    <xf numFmtId="166" fontId="0" fillId="3" borderId="0" xfId="0" applyNumberFormat="1" applyFill="1"/>
    <xf numFmtId="165" fontId="11" fillId="0" borderId="11" xfId="0" applyNumberFormat="1" applyFont="1" applyBorder="1" applyAlignment="1">
      <alignment vertical="center"/>
    </xf>
    <xf numFmtId="164" fontId="10" fillId="12" borderId="10" xfId="0" applyNumberFormat="1" applyFont="1" applyFill="1" applyBorder="1" applyAlignment="1">
      <alignment horizontal="left" vertical="center"/>
    </xf>
    <xf numFmtId="164" fontId="11" fillId="3" borderId="11" xfId="0" applyNumberFormat="1" applyFont="1" applyFill="1" applyBorder="1" applyAlignment="1">
      <alignment vertical="center"/>
    </xf>
    <xf numFmtId="0" fontId="6" fillId="5" borderId="11" xfId="0" applyFont="1" applyFill="1" applyBorder="1" applyAlignment="1">
      <alignment vertical="center"/>
    </xf>
    <xf numFmtId="164" fontId="0" fillId="3" borderId="0" xfId="0" applyNumberFormat="1" applyFill="1"/>
    <xf numFmtId="0" fontId="6" fillId="6" borderId="11" xfId="0" applyFont="1" applyFill="1" applyBorder="1" applyAlignment="1">
      <alignment vertical="center"/>
    </xf>
    <xf numFmtId="164" fontId="11" fillId="0" borderId="11" xfId="0" applyNumberFormat="1" applyFont="1" applyBorder="1" applyAlignment="1">
      <alignment vertical="center"/>
    </xf>
    <xf numFmtId="0" fontId="6" fillId="13" borderId="11" xfId="0" applyFont="1" applyFill="1" applyBorder="1" applyAlignment="1">
      <alignment vertical="center"/>
    </xf>
    <xf numFmtId="167" fontId="0" fillId="0" borderId="0" xfId="0" applyNumberFormat="1"/>
    <xf numFmtId="167" fontId="10" fillId="12" borderId="10" xfId="0" applyNumberFormat="1" applyFont="1" applyFill="1" applyBorder="1" applyAlignment="1">
      <alignment horizontal="left" vertical="center"/>
    </xf>
    <xf numFmtId="0" fontId="10" fillId="8" borderId="11" xfId="0" applyFont="1" applyFill="1" applyBorder="1" applyAlignment="1">
      <alignment horizontal="center" vertical="center"/>
    </xf>
    <xf numFmtId="165" fontId="0" fillId="3" borderId="0" xfId="0" applyNumberFormat="1" applyFill="1"/>
    <xf numFmtId="0" fontId="12" fillId="14" borderId="11" xfId="0" applyFont="1" applyFill="1" applyBorder="1" applyAlignment="1">
      <alignment vertical="center"/>
    </xf>
    <xf numFmtId="166" fontId="11" fillId="3" borderId="11" xfId="0" applyNumberFormat="1" applyFont="1" applyFill="1" applyBorder="1" applyAlignment="1">
      <alignment vertical="center"/>
    </xf>
    <xf numFmtId="167" fontId="0" fillId="3" borderId="0" xfId="0" applyNumberFormat="1" applyFill="1"/>
    <xf numFmtId="0" fontId="10" fillId="7" borderId="11" xfId="0" applyFont="1" applyFill="1" applyBorder="1" applyAlignment="1">
      <alignment horizontal="center" vertical="center"/>
    </xf>
    <xf numFmtId="0" fontId="13" fillId="15" borderId="11" xfId="0" applyFont="1" applyFill="1" applyBorder="1" applyAlignment="1">
      <alignment vertical="center"/>
    </xf>
    <xf numFmtId="166" fontId="11" fillId="0" borderId="11" xfId="0" applyNumberFormat="1" applyFont="1" applyBorder="1" applyAlignment="1">
      <alignment vertical="center"/>
    </xf>
    <xf numFmtId="167" fontId="11" fillId="0" borderId="11" xfId="0" applyNumberFormat="1" applyFont="1" applyBorder="1" applyAlignment="1">
      <alignment vertical="center"/>
    </xf>
    <xf numFmtId="0" fontId="10" fillId="5" borderId="11" xfId="0" applyFont="1" applyFill="1" applyBorder="1" applyAlignment="1">
      <alignment horizontal="center" vertical="center"/>
    </xf>
    <xf numFmtId="167" fontId="11" fillId="3" borderId="11" xfId="0" applyNumberFormat="1" applyFont="1" applyFill="1" applyBorder="1" applyAlignment="1">
      <alignment vertical="center"/>
    </xf>
    <xf numFmtId="0" fontId="14" fillId="3" borderId="12" xfId="0" applyFont="1" applyFill="1" applyBorder="1" applyAlignment="1">
      <alignment vertical="center"/>
    </xf>
    <xf numFmtId="3" fontId="15" fillId="3" borderId="12" xfId="0" applyNumberFormat="1" applyFont="1" applyFill="1" applyBorder="1" applyAlignment="1">
      <alignment vertical="center"/>
    </xf>
    <xf numFmtId="0" fontId="6" fillId="12" borderId="0" xfId="0" applyFont="1" applyFill="1" applyAlignment="1">
      <alignment vertical="center"/>
    </xf>
    <xf numFmtId="3" fontId="16" fillId="3" borderId="12" xfId="0" applyNumberFormat="1" applyFont="1" applyFill="1" applyBorder="1" applyAlignment="1">
      <alignment vertical="center"/>
    </xf>
    <xf numFmtId="0" fontId="6" fillId="8" borderId="0" xfId="0" applyFont="1" applyFill="1"/>
    <xf numFmtId="3" fontId="0" fillId="0" borderId="0" xfId="0" applyNumberFormat="1"/>
    <xf numFmtId="164" fontId="17" fillId="3" borderId="12" xfId="0" applyNumberFormat="1" applyFont="1" applyFill="1" applyBorder="1" applyAlignment="1">
      <alignment vertical="center"/>
    </xf>
    <xf numFmtId="0" fontId="6" fillId="6" borderId="0" xfId="0" applyFont="1" applyFill="1"/>
    <xf numFmtId="166" fontId="18" fillId="3" borderId="12" xfId="0" applyNumberFormat="1" applyFont="1" applyFill="1" applyBorder="1" applyAlignment="1">
      <alignment vertical="center"/>
    </xf>
    <xf numFmtId="0" fontId="6" fillId="7" borderId="0" xfId="0" applyFont="1" applyFill="1"/>
    <xf numFmtId="166" fontId="16" fillId="3" borderId="12" xfId="0" applyNumberFormat="1" applyFont="1" applyFill="1" applyBorder="1" applyAlignment="1">
      <alignment vertical="center"/>
    </xf>
    <xf numFmtId="0" fontId="6" fillId="11" borderId="0" xfId="0" applyFont="1" applyFill="1"/>
    <xf numFmtId="166" fontId="19" fillId="3" borderId="12" xfId="0" applyNumberFormat="1" applyFont="1" applyFill="1" applyBorder="1" applyAlignment="1">
      <alignment vertical="center"/>
    </xf>
    <xf numFmtId="3" fontId="20" fillId="3" borderId="12" xfId="0" applyNumberFormat="1" applyFont="1" applyFill="1" applyBorder="1" applyAlignment="1">
      <alignment vertical="center"/>
    </xf>
    <xf numFmtId="0" fontId="6" fillId="5" borderId="0" xfId="0" applyFont="1" applyFill="1"/>
    <xf numFmtId="0" fontId="6" fillId="13" borderId="0" xfId="0" applyFont="1" applyFill="1"/>
    <xf numFmtId="0" fontId="21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10" fillId="12" borderId="10" xfId="0" applyFont="1" applyFill="1" applyBorder="1" applyAlignment="1">
      <alignment vertical="top" wrapText="1"/>
    </xf>
    <xf numFmtId="0" fontId="11" fillId="3" borderId="11" xfId="0" applyFont="1" applyFill="1" applyBorder="1" applyAlignment="1">
      <alignment vertical="top" wrapText="1"/>
    </xf>
    <xf numFmtId="0" fontId="11" fillId="0" borderId="1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r>
              <a:rPr lang="es-MX" sz="1200" b="1"/>
              <a:t>Evolución comparativa por unidad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'Resumen'!$O$16</c:f>
              <c:strCache>
                <c:ptCount val="1"/>
                <c:pt idx="0">
                  <c:v>Natural</c:v>
                </c:pt>
              </c:strCache>
            </c:strRef>
          </c:tx>
          <c:spPr>
            <a:solidFill>
              <a:srgbClr val="059669"/>
            </a:solidFill>
            <a:ln>
              <a:noFill/>
            </a:ln>
          </c:spPr>
          <c:cat>
            <c:strRef>
              <c:f>'Resumen'!$N$17:$N$28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'Resumen'!$O$17:$O$28</c:f>
              <c:numCache>
                <c:formatCode>#,##0</c:formatCode>
                <c:ptCount val="12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</c:numCache>
            </c:numRef>
          </c:val>
        </c:ser>
        <c:ser>
          <c:idx val="1"/>
          <c:order val="1"/>
          <c:tx>
            <c:strRef>
              <c:f>'Resumen'!$P$16</c:f>
              <c:strCache>
                <c:ptCount val="1"/>
                <c:pt idx="0">
                  <c:v>Arrastre</c:v>
                </c:pt>
              </c:strCache>
            </c:strRef>
          </c:tx>
          <c:spPr>
            <a:solidFill>
              <a:srgbClr val="2563EB"/>
            </a:solidFill>
            <a:ln>
              <a:noFill/>
            </a:ln>
          </c:spPr>
          <c:cat>
            <c:strRef>
              <c:f>'Resumen'!$N$17:$N$28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'Resumen'!$P$17:$P$28</c:f>
              <c:numCache>
                <c:formatCode>#,##0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</c:numCache>
            </c:numRef>
          </c:val>
        </c:ser>
        <c:ser>
          <c:idx val="2"/>
          <c:order val="2"/>
          <c:tx>
            <c:strRef>
              <c:f>'Resumen'!$Q$16</c:f>
              <c:strCache>
                <c:ptCount val="1"/>
                <c:pt idx="0">
                  <c:v>Lavado</c:v>
                </c:pt>
              </c:strCache>
            </c:strRef>
          </c:tx>
          <c:spPr>
            <a:solidFill>
              <a:srgbClr val="0891B2"/>
            </a:solidFill>
            <a:ln>
              <a:noFill/>
            </a:ln>
          </c:spPr>
          <c:cat>
            <c:strRef>
              <c:f>'Resumen'!$N$17:$N$28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'Resumen'!$Q$17:$Q$28</c:f>
              <c:numCache>
                <c:formatCode>#,##0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</c:ser>
        <c:ser>
          <c:idx val="3"/>
          <c:order val="3"/>
          <c:tx>
            <c:strRef>
              <c:f>'Resumen'!$R$16</c:f>
              <c:strCache>
                <c:ptCount val="1"/>
                <c:pt idx="0">
                  <c:v>Torneado</c:v>
                </c:pt>
              </c:strCache>
            </c:strRef>
          </c:tx>
          <c:spPr>
            <a:solidFill>
              <a:srgbClr val="D97706"/>
            </a:solidFill>
            <a:ln>
              <a:noFill/>
            </a:ln>
          </c:spPr>
          <c:cat>
            <c:strRef>
              <c:f>'Resumen'!$N$17:$N$28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'Resumen'!$R$17:$R$28</c:f>
              <c:numCache>
                <c:formatCode>#,##0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600000002"/>
        <c:axId val="600000003"/>
      </c:barChart>
      <c:catAx>
        <c:axId val="60000000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0000003"/>
        <c:crosses val="autoZero"/>
        <c:auto val="1"/>
        <c:lblAlgn val="ctr"/>
        <c:lblOffset val="100"/>
      </c:catAx>
      <c:valAx>
        <c:axId val="600000003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60000000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spPr>
    <a:solidFill>
      <a:srgbClr val="FFFFFF"/>
    </a:solidFill>
    <a:ln>
      <a:solidFill>
        <a:srgbClr val="E2E8F0"/>
      </a:solidFill>
    </a:ln>
  </c:spPr>
  <c:txPr>
    <a:bodyPr/>
    <a:lstStyle/>
    <a:p>
      <a:pPr>
        <a:defRPr sz="1000" latin="Aptos"/>
      </a:pPr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r>
              <a:rPr lang="es-MX" sz="1200" b="1"/>
              <a:t>Evolución de Naturales, Lavado y Torneado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'Naturales'!$O$17</c:f>
              <c:strCache>
                <c:ptCount val="1"/>
                <c:pt idx="0">
                  <c:v>Movimientos naturales</c:v>
                </c:pt>
              </c:strCache>
            </c:strRef>
          </c:tx>
          <c:spPr>
            <a:solidFill>
              <a:srgbClr val="059669"/>
            </a:solidFill>
            <a:ln>
              <a:noFill/>
            </a:ln>
          </c:spPr>
          <c:cat>
            <c:strRef>
              <c:f>'Naturales'!$N$18:$N$29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'Naturales'!$O$18:$O$29</c:f>
              <c:numCache>
                <c:formatCode>#,##0</c:formatCode>
                <c:ptCount val="12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</c:numCache>
            </c:numRef>
          </c:val>
        </c:ser>
        <c:ser>
          <c:idx val="1"/>
          <c:order val="1"/>
          <c:tx>
            <c:strRef>
              <c:f>'Naturales'!$P$17</c:f>
              <c:strCache>
                <c:ptCount val="1"/>
                <c:pt idx="0">
                  <c:v>Lavados</c:v>
                </c:pt>
              </c:strCache>
            </c:strRef>
          </c:tx>
          <c:spPr>
            <a:solidFill>
              <a:srgbClr val="0891B2"/>
            </a:solidFill>
            <a:ln>
              <a:noFill/>
            </a:ln>
          </c:spPr>
          <c:cat>
            <c:strRef>
              <c:f>'Naturales'!$N$18:$N$29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'Naturales'!$P$18:$P$29</c:f>
              <c:numCache>
                <c:formatCode>#,##0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</c:ser>
        <c:ser>
          <c:idx val="2"/>
          <c:order val="2"/>
          <c:tx>
            <c:strRef>
              <c:f>'Naturales'!$Q$17</c:f>
              <c:strCache>
                <c:ptCount val="1"/>
                <c:pt idx="0">
                  <c:v>Torneados</c:v>
                </c:pt>
              </c:strCache>
            </c:strRef>
          </c:tx>
          <c:spPr>
            <a:solidFill>
              <a:srgbClr val="D97706"/>
            </a:solidFill>
            <a:ln>
              <a:noFill/>
            </a:ln>
          </c:spPr>
          <c:cat>
            <c:strRef>
              <c:f>'Naturales'!$N$18:$N$29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'Naturales'!$Q$18:$Q$29</c:f>
              <c:numCache>
                <c:formatCode>#,##0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600000004"/>
        <c:axId val="600000005"/>
      </c:barChart>
      <c:catAx>
        <c:axId val="6000000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0000005"/>
        <c:crosses val="autoZero"/>
        <c:auto val="1"/>
        <c:lblAlgn val="ctr"/>
        <c:lblOffset val="100"/>
      </c:catAx>
      <c:valAx>
        <c:axId val="600000005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60000000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spPr>
    <a:solidFill>
      <a:srgbClr val="FFFFFF"/>
    </a:solidFill>
    <a:ln>
      <a:solidFill>
        <a:srgbClr val="E2E8F0"/>
      </a:solidFill>
    </a:ln>
  </c:spPr>
  <c:txPr>
    <a:bodyPr/>
    <a:lstStyle/>
    <a:p>
      <a:pPr>
        <a:defRPr sz="1000" latin="Aptos"/>
      </a:pPr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r>
              <a:rPr lang="es-MX" sz="1200" b="1"/>
              <a:t>Evolución de Arrastre y Vagones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'Arrastre'!$O$17</c:f>
              <c:strCache>
                <c:ptCount val="1"/>
                <c:pt idx="0">
                  <c:v>Solicitudes de arrastre</c:v>
                </c:pt>
              </c:strCache>
            </c:strRef>
          </c:tx>
          <c:spPr>
            <a:solidFill>
              <a:srgbClr val="2563EB"/>
            </a:solidFill>
            <a:ln>
              <a:noFill/>
            </a:ln>
          </c:spPr>
          <c:cat>
            <c:strRef>
              <c:f>'Arrastre'!$N$18:$N$29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'Arrastre'!$O$18:$O$29</c:f>
              <c:numCache>
                <c:formatCode>#,##0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</c:numCache>
            </c:numRef>
          </c:val>
        </c:ser>
        <c:ser>
          <c:idx val="1"/>
          <c:order val="1"/>
          <c:tx>
            <c:strRef>
              <c:f>'Arrastre'!$P$17</c:f>
              <c:strCache>
                <c:ptCount val="1"/>
                <c:pt idx="0">
                  <c:v>Vagones</c:v>
                </c:pt>
              </c:strCache>
            </c:strRef>
          </c:tx>
          <c:spPr>
            <a:solidFill>
              <a:srgbClr val="7C3AED"/>
            </a:solidFill>
            <a:ln>
              <a:noFill/>
            </a:ln>
          </c:spPr>
          <c:cat>
            <c:strRef>
              <c:f>'Arrastre'!$N$18:$N$29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'Arrastre'!$P$18:$P$29</c:f>
              <c:numCache>
                <c:formatCode>#,##0</c:formatCode>
                <c:ptCount val="12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600000006"/>
        <c:axId val="600000007"/>
      </c:barChart>
      <c:catAx>
        <c:axId val="60000000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0000007"/>
        <c:crosses val="autoZero"/>
        <c:auto val="1"/>
        <c:lblAlgn val="ctr"/>
        <c:lblOffset val="100"/>
      </c:catAx>
      <c:valAx>
        <c:axId val="600000007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60000000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spPr>
    <a:solidFill>
      <a:srgbClr val="FFFFFF"/>
    </a:solidFill>
    <a:ln>
      <a:solidFill>
        <a:srgbClr val="E2E8F0"/>
      </a:solidFill>
    </a:ln>
  </c:spPr>
  <c:txPr>
    <a:bodyPr/>
    <a:lstStyle/>
    <a:p>
      <a:pPr>
        <a:defRPr sz="1000" latin="Aptos"/>
      </a:pPr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2" name="Evolución comparativa por unida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12</xdr:col>
      <xdr:colOff>0</xdr:colOff>
      <xdr:row>35</xdr:row>
      <xdr:rowOff>0</xdr:rowOff>
    </xdr:to>
    <xdr:graphicFrame macro="">
      <xdr:nvGraphicFramePr>
        <xdr:cNvPr id="2" name="Evolución de Naturales, Lavado y Tornead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12</xdr:col>
      <xdr:colOff>0</xdr:colOff>
      <xdr:row>35</xdr:row>
      <xdr:rowOff>0</xdr:rowOff>
    </xdr:to>
    <xdr:graphicFrame macro="">
      <xdr:nvGraphicFramePr>
        <xdr:cNvPr id="2" name="Evolución de Arrastre y Vagon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7857"/>
    <pageSetUpPr fitToPage="1"/>
  </sheetPr>
  <dimension ref="A1:R36"/>
  <sheetViews>
    <sheetView workbookViewId="0" showGridLines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2" width="13" customWidth="1"/>
    <col min="14" max="14" width="14" customWidth="1"/>
    <col min="15" max="18" width="12" customWidth="1"/>
  </cols>
  <sheetData>
    <row r="1" ht="2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24" customHeight="1" spans="1:1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ht="26" customHeight="1" spans="1:12" x14ac:dyDescent="0.25">
      <c r="A5" s="3" t="s">
        <v>2</v>
      </c>
      <c r="B5" s="3"/>
      <c r="C5" s="4" t="s">
        <v>3</v>
      </c>
      <c r="D5" s="4"/>
      <c r="E5" s="4" t="s">
        <v>4</v>
      </c>
      <c r="F5" s="4"/>
      <c r="G5" s="4" t="s">
        <v>5</v>
      </c>
      <c r="H5" s="4"/>
      <c r="I5" s="5" t="s">
        <v>6</v>
      </c>
      <c r="J5" s="5"/>
      <c r="K5" s="6" t="s">
        <v>7</v>
      </c>
      <c r="L5" s="6"/>
    </row>
    <row r="6" ht="24" customHeight="1" spans="1:12" x14ac:dyDescent="0.25">
      <c r="A6" s="3"/>
      <c r="B6" s="3"/>
      <c r="C6" s="4"/>
      <c r="D6" s="4"/>
      <c r="E6" s="4"/>
      <c r="F6" s="4"/>
      <c r="G6" s="4"/>
      <c r="H6" s="4"/>
      <c r="I6" s="5"/>
      <c r="J6" s="5"/>
      <c r="K6" s="6"/>
      <c r="L6" s="6"/>
    </row>
    <row r="7" ht="24" customHeight="1" spans="1:12" x14ac:dyDescent="0.25">
      <c r="A7" s="3"/>
      <c r="B7" s="3"/>
      <c r="C7" s="4"/>
      <c r="D7" s="4"/>
      <c r="E7" s="4"/>
      <c r="F7" s="4"/>
      <c r="G7" s="4"/>
      <c r="H7" s="4"/>
      <c r="I7" s="5"/>
      <c r="J7" s="5"/>
      <c r="K7" s="6"/>
      <c r="L7" s="6"/>
    </row>
    <row r="8" ht="24" customHeight="1" spans="1:12" x14ac:dyDescent="0.25">
      <c r="A8" s="3"/>
      <c r="B8" s="3"/>
      <c r="C8" s="4"/>
      <c r="D8" s="4"/>
      <c r="E8" s="4"/>
      <c r="F8" s="4"/>
      <c r="G8" s="4"/>
      <c r="H8" s="4"/>
      <c r="I8" s="5"/>
      <c r="J8" s="5"/>
      <c r="K8" s="6"/>
      <c r="L8" s="6"/>
    </row>
    <row r="10" spans="1:12" x14ac:dyDescent="0.25">
      <c r="A10" s="5" t="s">
        <v>8</v>
      </c>
      <c r="B10" s="5"/>
      <c r="C10" s="5"/>
      <c r="D10" s="6" t="s">
        <v>9</v>
      </c>
      <c r="E10" s="6"/>
      <c r="F10" s="6"/>
      <c r="G10" s="4" t="s">
        <v>10</v>
      </c>
      <c r="H10" s="4"/>
      <c r="I10" s="4"/>
      <c r="J10" s="7" t="s">
        <v>11</v>
      </c>
      <c r="K10" s="7"/>
      <c r="L10" s="7"/>
    </row>
    <row r="11" spans="1:12" x14ac:dyDescent="0.25">
      <c r="A11" s="5"/>
      <c r="B11" s="5"/>
      <c r="C11" s="5"/>
      <c r="D11" s="6"/>
      <c r="E11" s="6"/>
      <c r="F11" s="6"/>
      <c r="G11" s="4"/>
      <c r="H11" s="4"/>
      <c r="I11" s="4"/>
      <c r="J11" s="7"/>
      <c r="K11" s="7"/>
      <c r="L11" s="7"/>
    </row>
    <row r="12" spans="1:12" x14ac:dyDescent="0.25">
      <c r="A12" s="5"/>
      <c r="B12" s="5"/>
      <c r="C12" s="5"/>
      <c r="D12" s="6"/>
      <c r="E12" s="6"/>
      <c r="F12" s="6"/>
      <c r="G12" s="4"/>
      <c r="H12" s="4"/>
      <c r="I12" s="4"/>
      <c r="J12" s="7"/>
      <c r="K12" s="7"/>
      <c r="L12" s="7"/>
    </row>
    <row r="13" spans="1:12" x14ac:dyDescent="0.25">
      <c r="A13" s="5"/>
      <c r="B13" s="5"/>
      <c r="C13" s="5"/>
      <c r="D13" s="6"/>
      <c r="E13" s="6"/>
      <c r="F13" s="6"/>
      <c r="G13" s="4"/>
      <c r="H13" s="4"/>
      <c r="I13" s="4"/>
      <c r="J13" s="7"/>
      <c r="K13" s="7"/>
      <c r="L13" s="7"/>
    </row>
    <row r="15" spans="1:14" x14ac:dyDescent="0.25">
      <c r="A15" s="8" t="s">
        <v>12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N15" s="9" t="s">
        <v>13</v>
      </c>
    </row>
    <row r="16" ht="18" customHeight="1" spans="14:18" x14ac:dyDescent="0.25">
      <c r="N16" s="10" t="s">
        <v>14</v>
      </c>
      <c r="O16" s="11" t="s">
        <v>15</v>
      </c>
      <c r="P16" s="12" t="s">
        <v>16</v>
      </c>
      <c r="Q16" s="13" t="s">
        <v>17</v>
      </c>
      <c r="R16" s="14" t="s">
        <v>18</v>
      </c>
    </row>
    <row r="17" ht="18" customHeight="1" spans="14:18" x14ac:dyDescent="0.25">
      <c r="N17" s="15" t="s">
        <v>19</v>
      </c>
      <c r="O17" s="16">
        <v>10</v>
      </c>
      <c r="P17" s="16">
        <v>4</v>
      </c>
      <c r="Q17" s="16">
        <v>0</v>
      </c>
      <c r="R17" s="16">
        <v>0</v>
      </c>
    </row>
    <row r="18" ht="18" customHeight="1" spans="14:18" x14ac:dyDescent="0.25">
      <c r="N18" s="17" t="s">
        <v>20</v>
      </c>
      <c r="O18" s="16">
        <v>11</v>
      </c>
      <c r="P18" s="16">
        <v>5</v>
      </c>
      <c r="Q18" s="16">
        <v>1</v>
      </c>
      <c r="R18" s="16">
        <v>1</v>
      </c>
    </row>
    <row r="19" ht="18" customHeight="1" spans="14:18" x14ac:dyDescent="0.25">
      <c r="N19" s="15" t="s">
        <v>21</v>
      </c>
      <c r="O19" s="16">
        <v>12</v>
      </c>
      <c r="P19" s="16">
        <v>6</v>
      </c>
      <c r="Q19" s="16">
        <v>2</v>
      </c>
      <c r="R19" s="16">
        <v>0</v>
      </c>
    </row>
    <row r="20" ht="18" customHeight="1" spans="14:18" x14ac:dyDescent="0.25">
      <c r="N20" s="17" t="s">
        <v>22</v>
      </c>
      <c r="O20" s="16">
        <v>13</v>
      </c>
      <c r="P20" s="16">
        <v>7</v>
      </c>
      <c r="Q20" s="16">
        <v>0</v>
      </c>
      <c r="R20" s="16">
        <v>1</v>
      </c>
    </row>
    <row r="21" ht="18" customHeight="1" spans="14:18" x14ac:dyDescent="0.25">
      <c r="N21" s="15" t="s">
        <v>23</v>
      </c>
      <c r="O21" s="16">
        <v>14</v>
      </c>
      <c r="P21" s="16">
        <v>8</v>
      </c>
      <c r="Q21" s="16">
        <v>1</v>
      </c>
      <c r="R21" s="16">
        <v>0</v>
      </c>
    </row>
    <row r="22" ht="18" customHeight="1" spans="14:18" x14ac:dyDescent="0.25">
      <c r="N22" s="17" t="s">
        <v>24</v>
      </c>
      <c r="O22" s="16">
        <v>15</v>
      </c>
      <c r="P22" s="16">
        <v>9</v>
      </c>
      <c r="Q22" s="16">
        <v>2</v>
      </c>
      <c r="R22" s="16">
        <v>1</v>
      </c>
    </row>
    <row r="23" ht="18" customHeight="1" spans="14:18" x14ac:dyDescent="0.25">
      <c r="N23" s="15" t="s">
        <v>25</v>
      </c>
      <c r="O23" s="16">
        <v>16</v>
      </c>
      <c r="P23" s="16">
        <v>10</v>
      </c>
      <c r="Q23" s="16">
        <v>0</v>
      </c>
      <c r="R23" s="16">
        <v>0</v>
      </c>
    </row>
    <row r="24" ht="18" customHeight="1" spans="14:18" x14ac:dyDescent="0.25">
      <c r="N24" s="17" t="s">
        <v>26</v>
      </c>
      <c r="O24" s="16">
        <v>17</v>
      </c>
      <c r="P24" s="16">
        <v>11</v>
      </c>
      <c r="Q24" s="16">
        <v>1</v>
      </c>
      <c r="R24" s="16">
        <v>1</v>
      </c>
    </row>
    <row r="25" ht="18" customHeight="1" spans="14:18" x14ac:dyDescent="0.25">
      <c r="N25" s="15" t="s">
        <v>27</v>
      </c>
      <c r="O25" s="16">
        <v>18</v>
      </c>
      <c r="P25" s="16">
        <v>12</v>
      </c>
      <c r="Q25" s="16">
        <v>2</v>
      </c>
      <c r="R25" s="16">
        <v>0</v>
      </c>
    </row>
    <row r="26" ht="18" customHeight="1" spans="14:18" x14ac:dyDescent="0.25">
      <c r="N26" s="17" t="s">
        <v>28</v>
      </c>
      <c r="O26" s="16">
        <v>19</v>
      </c>
      <c r="P26" s="16">
        <v>13</v>
      </c>
      <c r="Q26" s="16">
        <v>0</v>
      </c>
      <c r="R26" s="16">
        <v>1</v>
      </c>
    </row>
    <row r="27" ht="18" customHeight="1" spans="14:18" x14ac:dyDescent="0.25">
      <c r="N27" s="15" t="s">
        <v>29</v>
      </c>
      <c r="O27" s="16">
        <v>20</v>
      </c>
      <c r="P27" s="16">
        <v>14</v>
      </c>
      <c r="Q27" s="16">
        <v>1</v>
      </c>
      <c r="R27" s="16">
        <v>0</v>
      </c>
    </row>
    <row r="28" ht="18" customHeight="1" spans="14:18" x14ac:dyDescent="0.25">
      <c r="N28" s="17" t="s">
        <v>30</v>
      </c>
      <c r="O28" s="16">
        <v>21</v>
      </c>
      <c r="P28" s="16">
        <v>15</v>
      </c>
      <c r="Q28" s="16">
        <v>2</v>
      </c>
      <c r="R28" s="16">
        <v>1</v>
      </c>
    </row>
    <row r="29" ht="18" customHeight="1" x14ac:dyDescent="0.25"/>
    <row r="30" ht="18" customHeight="1" x14ac:dyDescent="0.25"/>
    <row r="31" ht="18" customHeight="1" x14ac:dyDescent="0.25"/>
    <row r="32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</sheetData>
  <mergeCells count="13">
    <mergeCell ref="A1:L2"/>
    <mergeCell ref="A3:L3"/>
    <mergeCell ref="A5:B8"/>
    <mergeCell ref="C5:D8"/>
    <mergeCell ref="E5:F8"/>
    <mergeCell ref="G5:H8"/>
    <mergeCell ref="I5:J8"/>
    <mergeCell ref="K5:L8"/>
    <mergeCell ref="A10:C13"/>
    <mergeCell ref="D10:F13"/>
    <mergeCell ref="G10:I13"/>
    <mergeCell ref="J10:L13"/>
    <mergeCell ref="A15:L15"/>
  </mergeCells>
  <pageMargins left="0.25" right="0.25" top="0.5" bottom="0.5" header="0.2" footer="0.2"/>
  <pageSetup orientation="landscape" fitToWidth="1" fitToHeight="0"/>
  <headerFooter>
    <oddFooter>COSAIF Comercial · Confidencial · 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7857"/>
    <pageSetUpPr fitToPage="1"/>
  </sheetPr>
  <dimension ref="A1:Q45"/>
  <sheetViews>
    <sheetView workbookViewId="0" showGridLines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2" width="13" customWidth="1"/>
    <col min="14" max="14" width="14" customWidth="1"/>
    <col min="15" max="17" width="12" customWidth="1"/>
  </cols>
  <sheetData>
    <row r="1" ht="28" customHeight="1" spans="1:12" x14ac:dyDescent="0.25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24" customHeight="1" spans="1:12" x14ac:dyDescent="0.25">
      <c r="A3" s="2" t="s">
        <v>32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spans="1:12" x14ac:dyDescent="0.25">
      <c r="A5" s="5" t="s">
        <v>6</v>
      </c>
      <c r="B5" s="5"/>
      <c r="C5" s="5"/>
      <c r="D5" s="4" t="s">
        <v>33</v>
      </c>
      <c r="E5" s="4"/>
      <c r="F5" s="4"/>
      <c r="G5" s="4" t="s">
        <v>34</v>
      </c>
      <c r="H5" s="4"/>
      <c r="I5" s="4"/>
      <c r="J5" s="4" t="s">
        <v>35</v>
      </c>
      <c r="K5" s="4"/>
      <c r="L5" s="4"/>
    </row>
    <row r="6" spans="1:12" x14ac:dyDescent="0.25">
      <c r="A6" s="5"/>
      <c r="B6" s="5"/>
      <c r="C6" s="5"/>
      <c r="D6" s="4"/>
      <c r="E6" s="4"/>
      <c r="F6" s="4"/>
      <c r="G6" s="4"/>
      <c r="H6" s="4"/>
      <c r="I6" s="4"/>
      <c r="J6" s="4"/>
      <c r="K6" s="4"/>
      <c r="L6" s="4"/>
    </row>
    <row r="7" spans="1:12" x14ac:dyDescent="0.25">
      <c r="A7" s="5"/>
      <c r="B7" s="5"/>
      <c r="C7" s="5"/>
      <c r="D7" s="4"/>
      <c r="E7" s="4"/>
      <c r="F7" s="4"/>
      <c r="G7" s="4"/>
      <c r="H7" s="4"/>
      <c r="I7" s="4"/>
      <c r="J7" s="4"/>
      <c r="K7" s="4"/>
      <c r="L7" s="4"/>
    </row>
    <row r="8" spans="1:12" x14ac:dyDescent="0.25">
      <c r="A8" s="5"/>
      <c r="B8" s="5"/>
      <c r="C8" s="5"/>
      <c r="D8" s="4"/>
      <c r="E8" s="4"/>
      <c r="F8" s="4"/>
      <c r="G8" s="4"/>
      <c r="H8" s="4"/>
      <c r="I8" s="4"/>
      <c r="J8" s="4"/>
      <c r="K8" s="4"/>
      <c r="L8" s="4"/>
    </row>
    <row r="10" spans="1:12" x14ac:dyDescent="0.25">
      <c r="A10" s="18" t="s">
        <v>36</v>
      </c>
      <c r="B10" s="18"/>
      <c r="C10" s="18"/>
      <c r="D10" s="19" t="s">
        <v>37</v>
      </c>
      <c r="E10" s="19"/>
      <c r="F10" s="19"/>
      <c r="G10" s="20" t="s">
        <v>38</v>
      </c>
      <c r="H10" s="20"/>
      <c r="I10" s="20"/>
      <c r="J10" s="4" t="s">
        <v>39</v>
      </c>
      <c r="K10" s="4"/>
      <c r="L10" s="4"/>
    </row>
    <row r="11" spans="1:12" x14ac:dyDescent="0.25">
      <c r="A11" s="18"/>
      <c r="B11" s="18"/>
      <c r="C11" s="18"/>
      <c r="D11" s="19"/>
      <c r="E11" s="19"/>
      <c r="F11" s="19"/>
      <c r="G11" s="20"/>
      <c r="H11" s="20"/>
      <c r="I11" s="20"/>
      <c r="J11" s="4"/>
      <c r="K11" s="4"/>
      <c r="L11" s="4"/>
    </row>
    <row r="12" spans="1:12" x14ac:dyDescent="0.25">
      <c r="A12" s="18"/>
      <c r="B12" s="18"/>
      <c r="C12" s="18"/>
      <c r="D12" s="19"/>
      <c r="E12" s="19"/>
      <c r="F12" s="19"/>
      <c r="G12" s="20"/>
      <c r="H12" s="20"/>
      <c r="I12" s="20"/>
      <c r="J12" s="4"/>
      <c r="K12" s="4"/>
      <c r="L12" s="4"/>
    </row>
    <row r="13" spans="1:12" x14ac:dyDescent="0.25">
      <c r="A13" s="18"/>
      <c r="B13" s="18"/>
      <c r="C13" s="18"/>
      <c r="D13" s="19"/>
      <c r="E13" s="19"/>
      <c r="F13" s="19"/>
      <c r="G13" s="20"/>
      <c r="H13" s="20"/>
      <c r="I13" s="20"/>
      <c r="J13" s="4"/>
      <c r="K13" s="4"/>
      <c r="L13" s="4"/>
    </row>
    <row r="15" ht="28" customHeight="1" spans="1:12" x14ac:dyDescent="0.25">
      <c r="A15" s="21" t="s">
        <v>40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spans="14:14" x14ac:dyDescent="0.25">
      <c r="N16" s="9" t="s">
        <v>13</v>
      </c>
    </row>
    <row r="17" ht="18" customHeight="1" spans="14:17" x14ac:dyDescent="0.25">
      <c r="N17" s="10" t="s">
        <v>14</v>
      </c>
      <c r="O17" s="11" t="s">
        <v>41</v>
      </c>
      <c r="P17" s="13" t="s">
        <v>42</v>
      </c>
      <c r="Q17" s="14" t="s">
        <v>43</v>
      </c>
    </row>
    <row r="18" ht="18" customHeight="1" spans="14:17" x14ac:dyDescent="0.25">
      <c r="N18" s="15" t="s">
        <v>19</v>
      </c>
      <c r="O18" s="16">
        <v>10</v>
      </c>
      <c r="P18" s="16">
        <v>0</v>
      </c>
      <c r="Q18" s="16">
        <v>0</v>
      </c>
    </row>
    <row r="19" ht="18" customHeight="1" spans="14:17" x14ac:dyDescent="0.25">
      <c r="N19" s="17" t="s">
        <v>20</v>
      </c>
      <c r="O19" s="16">
        <v>11</v>
      </c>
      <c r="P19" s="16">
        <v>1</v>
      </c>
      <c r="Q19" s="16">
        <v>1</v>
      </c>
    </row>
    <row r="20" ht="18" customHeight="1" spans="14:17" x14ac:dyDescent="0.25">
      <c r="N20" s="15" t="s">
        <v>21</v>
      </c>
      <c r="O20" s="16">
        <v>12</v>
      </c>
      <c r="P20" s="16">
        <v>2</v>
      </c>
      <c r="Q20" s="16">
        <v>0</v>
      </c>
    </row>
    <row r="21" ht="18" customHeight="1" spans="14:17" x14ac:dyDescent="0.25">
      <c r="N21" s="17" t="s">
        <v>22</v>
      </c>
      <c r="O21" s="16">
        <v>13</v>
      </c>
      <c r="P21" s="16">
        <v>0</v>
      </c>
      <c r="Q21" s="16">
        <v>1</v>
      </c>
    </row>
    <row r="22" ht="18" customHeight="1" spans="14:17" x14ac:dyDescent="0.25">
      <c r="N22" s="15" t="s">
        <v>23</v>
      </c>
      <c r="O22" s="16">
        <v>14</v>
      </c>
      <c r="P22" s="16">
        <v>1</v>
      </c>
      <c r="Q22" s="16">
        <v>0</v>
      </c>
    </row>
    <row r="23" ht="18" customHeight="1" spans="14:17" x14ac:dyDescent="0.25">
      <c r="N23" s="17" t="s">
        <v>24</v>
      </c>
      <c r="O23" s="16">
        <v>15</v>
      </c>
      <c r="P23" s="16">
        <v>2</v>
      </c>
      <c r="Q23" s="16">
        <v>1</v>
      </c>
    </row>
    <row r="24" ht="18" customHeight="1" spans="14:17" x14ac:dyDescent="0.25">
      <c r="N24" s="15" t="s">
        <v>25</v>
      </c>
      <c r="O24" s="16">
        <v>16</v>
      </c>
      <c r="P24" s="16">
        <v>0</v>
      </c>
      <c r="Q24" s="16">
        <v>0</v>
      </c>
    </row>
    <row r="25" ht="18" customHeight="1" spans="14:17" x14ac:dyDescent="0.25">
      <c r="N25" s="17" t="s">
        <v>26</v>
      </c>
      <c r="O25" s="16">
        <v>17</v>
      </c>
      <c r="P25" s="16">
        <v>1</v>
      </c>
      <c r="Q25" s="16">
        <v>1</v>
      </c>
    </row>
    <row r="26" ht="18" customHeight="1" spans="14:17" x14ac:dyDescent="0.25">
      <c r="N26" s="15" t="s">
        <v>27</v>
      </c>
      <c r="O26" s="16">
        <v>18</v>
      </c>
      <c r="P26" s="16">
        <v>2</v>
      </c>
      <c r="Q26" s="16">
        <v>0</v>
      </c>
    </row>
    <row r="27" ht="18" customHeight="1" spans="14:17" x14ac:dyDescent="0.25">
      <c r="N27" s="17" t="s">
        <v>28</v>
      </c>
      <c r="O27" s="16">
        <v>19</v>
      </c>
      <c r="P27" s="16">
        <v>0</v>
      </c>
      <c r="Q27" s="16">
        <v>1</v>
      </c>
    </row>
    <row r="28" ht="18" customHeight="1" spans="14:17" x14ac:dyDescent="0.25">
      <c r="N28" s="15" t="s">
        <v>29</v>
      </c>
      <c r="O28" s="16">
        <v>20</v>
      </c>
      <c r="P28" s="16">
        <v>1</v>
      </c>
      <c r="Q28" s="16">
        <v>0</v>
      </c>
    </row>
    <row r="29" ht="18" customHeight="1" spans="14:17" x14ac:dyDescent="0.25">
      <c r="N29" s="17" t="s">
        <v>30</v>
      </c>
      <c r="O29" s="16">
        <v>21</v>
      </c>
      <c r="P29" s="16">
        <v>2</v>
      </c>
      <c r="Q29" s="16">
        <v>1</v>
      </c>
    </row>
    <row r="30" ht="18" customHeight="1" x14ac:dyDescent="0.25"/>
    <row r="31" ht="18" customHeight="1" x14ac:dyDescent="0.25"/>
    <row r="32" ht="18" customHeight="1" x14ac:dyDescent="0.25"/>
    <row r="33" ht="18" customHeight="1" x14ac:dyDescent="0.25"/>
    <row r="34" ht="18" customHeight="1" x14ac:dyDescent="0.25"/>
    <row r="35" ht="18" customHeight="1" x14ac:dyDescent="0.25"/>
    <row r="38" spans="1:12" x14ac:dyDescent="0.25">
      <c r="A38" s="22" t="s">
        <v>44</v>
      </c>
      <c r="B38" s="22"/>
      <c r="C38" s="22"/>
      <c r="D38" s="22"/>
      <c r="E38" s="22"/>
      <c r="F38" s="22"/>
      <c r="G38" s="22" t="s">
        <v>45</v>
      </c>
      <c r="H38" s="22"/>
      <c r="I38" s="22"/>
      <c r="J38" s="22"/>
      <c r="K38" s="22"/>
      <c r="L38" s="22"/>
    </row>
    <row r="39" ht="22" customHeight="1" spans="1:12" x14ac:dyDescent="0.25">
      <c r="A39" s="23" t="s">
        <v>46</v>
      </c>
      <c r="D39" s="23" t="s">
        <v>47</v>
      </c>
      <c r="F39" s="23" t="s">
        <v>48</v>
      </c>
      <c r="G39" s="23" t="s">
        <v>49</v>
      </c>
      <c r="J39" s="23" t="s">
        <v>47</v>
      </c>
      <c r="L39" s="23" t="s">
        <v>48</v>
      </c>
    </row>
    <row r="40" ht="22" customHeight="1" spans="1:12" x14ac:dyDescent="0.25">
      <c r="A40" t="s">
        <v>50</v>
      </c>
      <c r="B40"/>
      <c r="C40"/>
      <c r="D40">
        <v>135</v>
      </c>
      <c r="E40"/>
      <c r="F40" s="24">
        <v>1</v>
      </c>
      <c r="G40" t="s">
        <v>51</v>
      </c>
      <c r="H40"/>
      <c r="I40"/>
      <c r="J40">
        <v>135</v>
      </c>
      <c r="K40"/>
      <c r="L40" s="24">
        <v>1</v>
      </c>
    </row>
    <row r="41" ht="22" customHeight="1" x14ac:dyDescent="0.25"/>
    <row r="42" ht="22" customHeight="1" x14ac:dyDescent="0.25"/>
    <row r="43" ht="22" customHeight="1" x14ac:dyDescent="0.25"/>
    <row r="44" ht="22" customHeight="1" x14ac:dyDescent="0.25"/>
    <row r="45" ht="22" customHeight="1" x14ac:dyDescent="0.25"/>
  </sheetData>
  <mergeCells count="17">
    <mergeCell ref="A1:L2"/>
    <mergeCell ref="A3:L3"/>
    <mergeCell ref="A5:C8"/>
    <mergeCell ref="D5:F8"/>
    <mergeCell ref="G5:I8"/>
    <mergeCell ref="J5:L8"/>
    <mergeCell ref="A10:C13"/>
    <mergeCell ref="D10:F13"/>
    <mergeCell ref="G10:I13"/>
    <mergeCell ref="J10:L13"/>
    <mergeCell ref="A15:L15"/>
    <mergeCell ref="A38:F38"/>
    <mergeCell ref="G38:L38"/>
    <mergeCell ref="A40:C40"/>
    <mergeCell ref="D40:E40"/>
    <mergeCell ref="G40:I40"/>
    <mergeCell ref="J40:K40"/>
  </mergeCells>
  <pageMargins left="0.25" right="0.25" top="0.5" bottom="0.5" header="0.2" footer="0.2"/>
  <pageSetup orientation="landscape" fitToWidth="1" fitToHeight="0"/>
  <headerFooter>
    <oddFooter>COSAIF Comercial · Confidencial · Página &amp;P de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  <pageSetUpPr fitToPage="1"/>
  </sheetPr>
  <dimension ref="A1:P45"/>
  <sheetViews>
    <sheetView workbookViewId="0" showGridLines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2" width="13" customWidth="1"/>
    <col min="14" max="14" width="14" customWidth="1"/>
    <col min="15" max="16" width="12" customWidth="1"/>
  </cols>
  <sheetData>
    <row r="1" ht="28" customHeight="1" spans="1:12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24" customHeight="1" spans="1:12" x14ac:dyDescent="0.25">
      <c r="A3" s="2" t="s">
        <v>32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spans="1:12" x14ac:dyDescent="0.25">
      <c r="A5" s="6" t="s">
        <v>7</v>
      </c>
      <c r="B5" s="6"/>
      <c r="C5" s="6"/>
      <c r="D5" s="4" t="s">
        <v>52</v>
      </c>
      <c r="E5" s="4"/>
      <c r="F5" s="4"/>
      <c r="G5" s="20" t="s">
        <v>53</v>
      </c>
      <c r="H5" s="20"/>
      <c r="I5" s="20"/>
      <c r="J5" s="4" t="s">
        <v>54</v>
      </c>
      <c r="K5" s="4"/>
      <c r="L5" s="4"/>
    </row>
    <row r="6" spans="1:12" x14ac:dyDescent="0.25">
      <c r="A6" s="6"/>
      <c r="B6" s="6"/>
      <c r="C6" s="6"/>
      <c r="D6" s="4"/>
      <c r="E6" s="4"/>
      <c r="F6" s="4"/>
      <c r="G6" s="20"/>
      <c r="H6" s="20"/>
      <c r="I6" s="20"/>
      <c r="J6" s="4"/>
      <c r="K6" s="4"/>
      <c r="L6" s="4"/>
    </row>
    <row r="7" spans="1:12" x14ac:dyDescent="0.25">
      <c r="A7" s="6"/>
      <c r="B7" s="6"/>
      <c r="C7" s="6"/>
      <c r="D7" s="4"/>
      <c r="E7" s="4"/>
      <c r="F7" s="4"/>
      <c r="G7" s="20"/>
      <c r="H7" s="20"/>
      <c r="I7" s="20"/>
      <c r="J7" s="4"/>
      <c r="K7" s="4"/>
      <c r="L7" s="4"/>
    </row>
    <row r="8" spans="1:12" x14ac:dyDescent="0.25">
      <c r="A8" s="6"/>
      <c r="B8" s="6"/>
      <c r="C8" s="6"/>
      <c r="D8" s="4"/>
      <c r="E8" s="4"/>
      <c r="F8" s="4"/>
      <c r="G8" s="20"/>
      <c r="H8" s="20"/>
      <c r="I8" s="20"/>
      <c r="J8" s="4"/>
      <c r="K8" s="4"/>
      <c r="L8" s="4"/>
    </row>
    <row r="10" spans="1:12" x14ac:dyDescent="0.25">
      <c r="A10" s="7" t="s">
        <v>11</v>
      </c>
      <c r="B10" s="7"/>
      <c r="C10" s="7"/>
      <c r="D10" s="19" t="s">
        <v>55</v>
      </c>
      <c r="E10" s="19"/>
      <c r="F10" s="19"/>
      <c r="G10" s="20" t="s">
        <v>56</v>
      </c>
      <c r="H10" s="20"/>
      <c r="I10" s="20"/>
      <c r="J10" s="4" t="s">
        <v>39</v>
      </c>
      <c r="K10" s="4"/>
      <c r="L10" s="4"/>
    </row>
    <row r="11" spans="1:12" x14ac:dyDescent="0.25">
      <c r="A11" s="7"/>
      <c r="B11" s="7"/>
      <c r="C11" s="7"/>
      <c r="D11" s="19"/>
      <c r="E11" s="19"/>
      <c r="F11" s="19"/>
      <c r="G11" s="20"/>
      <c r="H11" s="20"/>
      <c r="I11" s="20"/>
      <c r="J11" s="4"/>
      <c r="K11" s="4"/>
      <c r="L11" s="4"/>
    </row>
    <row r="12" spans="1:12" x14ac:dyDescent="0.25">
      <c r="A12" s="7"/>
      <c r="B12" s="7"/>
      <c r="C12" s="7"/>
      <c r="D12" s="19"/>
      <c r="E12" s="19"/>
      <c r="F12" s="19"/>
      <c r="G12" s="20"/>
      <c r="H12" s="20"/>
      <c r="I12" s="20"/>
      <c r="J12" s="4"/>
      <c r="K12" s="4"/>
      <c r="L12" s="4"/>
    </row>
    <row r="13" spans="1:12" x14ac:dyDescent="0.25">
      <c r="A13" s="7"/>
      <c r="B13" s="7"/>
      <c r="C13" s="7"/>
      <c r="D13" s="19"/>
      <c r="E13" s="19"/>
      <c r="F13" s="19"/>
      <c r="G13" s="20"/>
      <c r="H13" s="20"/>
      <c r="I13" s="20"/>
      <c r="J13" s="4"/>
      <c r="K13" s="4"/>
      <c r="L13" s="4"/>
    </row>
    <row r="15" ht="28" customHeight="1" spans="1:12" x14ac:dyDescent="0.25">
      <c r="A15" s="21" t="s">
        <v>57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spans="14:14" x14ac:dyDescent="0.25">
      <c r="N16" s="9" t="s">
        <v>13</v>
      </c>
    </row>
    <row r="17" ht="18" customHeight="1" spans="14:16" x14ac:dyDescent="0.25">
      <c r="N17" s="10" t="s">
        <v>14</v>
      </c>
      <c r="O17" s="12" t="s">
        <v>58</v>
      </c>
      <c r="P17" s="25" t="s">
        <v>59</v>
      </c>
    </row>
    <row r="18" ht="18" customHeight="1" spans="14:16" x14ac:dyDescent="0.25">
      <c r="N18" s="15" t="s">
        <v>19</v>
      </c>
      <c r="O18" s="16">
        <v>4</v>
      </c>
      <c r="P18" s="16">
        <v>16</v>
      </c>
    </row>
    <row r="19" ht="18" customHeight="1" spans="14:16" x14ac:dyDescent="0.25">
      <c r="N19" s="17" t="s">
        <v>20</v>
      </c>
      <c r="O19" s="16">
        <v>5</v>
      </c>
      <c r="P19" s="16">
        <v>17</v>
      </c>
    </row>
    <row r="20" ht="18" customHeight="1" spans="14:16" x14ac:dyDescent="0.25">
      <c r="N20" s="15" t="s">
        <v>21</v>
      </c>
      <c r="O20" s="16">
        <v>6</v>
      </c>
      <c r="P20" s="16">
        <v>18</v>
      </c>
    </row>
    <row r="21" ht="18" customHeight="1" spans="14:16" x14ac:dyDescent="0.25">
      <c r="N21" s="17" t="s">
        <v>22</v>
      </c>
      <c r="O21" s="16">
        <v>7</v>
      </c>
      <c r="P21" s="16">
        <v>19</v>
      </c>
    </row>
    <row r="22" ht="18" customHeight="1" spans="14:16" x14ac:dyDescent="0.25">
      <c r="N22" s="15" t="s">
        <v>23</v>
      </c>
      <c r="O22" s="16">
        <v>8</v>
      </c>
      <c r="P22" s="16">
        <v>20</v>
      </c>
    </row>
    <row r="23" ht="18" customHeight="1" spans="14:16" x14ac:dyDescent="0.25">
      <c r="N23" s="17" t="s">
        <v>24</v>
      </c>
      <c r="O23" s="16">
        <v>9</v>
      </c>
      <c r="P23" s="16">
        <v>21</v>
      </c>
    </row>
    <row r="24" ht="18" customHeight="1" spans="14:16" x14ac:dyDescent="0.25">
      <c r="N24" s="15" t="s">
        <v>25</v>
      </c>
      <c r="O24" s="16">
        <v>10</v>
      </c>
      <c r="P24" s="16">
        <v>22</v>
      </c>
    </row>
    <row r="25" ht="18" customHeight="1" spans="14:16" x14ac:dyDescent="0.25">
      <c r="N25" s="17" t="s">
        <v>26</v>
      </c>
      <c r="O25" s="16">
        <v>11</v>
      </c>
      <c r="P25" s="16">
        <v>23</v>
      </c>
    </row>
    <row r="26" ht="18" customHeight="1" spans="14:16" x14ac:dyDescent="0.25">
      <c r="N26" s="15" t="s">
        <v>27</v>
      </c>
      <c r="O26" s="16">
        <v>12</v>
      </c>
      <c r="P26" s="16">
        <v>24</v>
      </c>
    </row>
    <row r="27" ht="18" customHeight="1" spans="14:16" x14ac:dyDescent="0.25">
      <c r="N27" s="17" t="s">
        <v>28</v>
      </c>
      <c r="O27" s="16">
        <v>13</v>
      </c>
      <c r="P27" s="16">
        <v>25</v>
      </c>
    </row>
    <row r="28" ht="18" customHeight="1" spans="14:16" x14ac:dyDescent="0.25">
      <c r="N28" s="15" t="s">
        <v>29</v>
      </c>
      <c r="O28" s="16">
        <v>14</v>
      </c>
      <c r="P28" s="16">
        <v>26</v>
      </c>
    </row>
    <row r="29" ht="18" customHeight="1" spans="14:16" x14ac:dyDescent="0.25">
      <c r="N29" s="17" t="s">
        <v>30</v>
      </c>
      <c r="O29" s="16">
        <v>15</v>
      </c>
      <c r="P29" s="16">
        <v>27</v>
      </c>
    </row>
    <row r="30" ht="18" customHeight="1" x14ac:dyDescent="0.25"/>
    <row r="31" ht="18" customHeight="1" x14ac:dyDescent="0.25"/>
    <row r="32" ht="18" customHeight="1" x14ac:dyDescent="0.25"/>
    <row r="33" ht="18" customHeight="1" x14ac:dyDescent="0.25"/>
    <row r="34" ht="18" customHeight="1" x14ac:dyDescent="0.25"/>
    <row r="35" ht="18" customHeight="1" x14ac:dyDescent="0.25"/>
    <row r="38" spans="1:12" x14ac:dyDescent="0.25">
      <c r="A38" s="12" t="s">
        <v>60</v>
      </c>
      <c r="B38" s="12"/>
      <c r="C38" s="12"/>
      <c r="D38" s="12"/>
      <c r="E38" s="12"/>
      <c r="F38" s="12"/>
      <c r="G38" s="12" t="s">
        <v>45</v>
      </c>
      <c r="H38" s="12"/>
      <c r="I38" s="12"/>
      <c r="J38" s="12"/>
      <c r="K38" s="12"/>
      <c r="L38" s="12"/>
    </row>
    <row r="39" ht="22" customHeight="1" spans="1:12" x14ac:dyDescent="0.25">
      <c r="A39" s="23" t="s">
        <v>46</v>
      </c>
      <c r="D39" s="23" t="s">
        <v>47</v>
      </c>
      <c r="F39" s="23" t="s">
        <v>48</v>
      </c>
      <c r="G39" s="23" t="s">
        <v>49</v>
      </c>
      <c r="J39" s="23" t="s">
        <v>47</v>
      </c>
      <c r="L39" s="23" t="s">
        <v>48</v>
      </c>
    </row>
    <row r="40" ht="22" customHeight="1" spans="1:12" x14ac:dyDescent="0.25">
      <c r="A40" t="s">
        <v>50</v>
      </c>
      <c r="B40"/>
      <c r="C40"/>
      <c r="D40">
        <v>75</v>
      </c>
      <c r="E40"/>
      <c r="F40" s="24">
        <v>3.75</v>
      </c>
      <c r="G40" t="s">
        <v>51</v>
      </c>
      <c r="H40"/>
      <c r="I40"/>
      <c r="J40">
        <v>75</v>
      </c>
      <c r="K40"/>
      <c r="L40" s="24">
        <v>3.75</v>
      </c>
    </row>
    <row r="41" ht="22" customHeight="1" x14ac:dyDescent="0.25"/>
    <row r="42" ht="22" customHeight="1" x14ac:dyDescent="0.25"/>
    <row r="43" ht="22" customHeight="1" x14ac:dyDescent="0.25"/>
    <row r="44" ht="22" customHeight="1" x14ac:dyDescent="0.25"/>
    <row r="45" ht="22" customHeight="1" x14ac:dyDescent="0.25"/>
  </sheetData>
  <mergeCells count="17">
    <mergeCell ref="A1:L2"/>
    <mergeCell ref="A3:L3"/>
    <mergeCell ref="A5:C8"/>
    <mergeCell ref="D5:F8"/>
    <mergeCell ref="G5:I8"/>
    <mergeCell ref="J5:L8"/>
    <mergeCell ref="A10:C13"/>
    <mergeCell ref="D10:F13"/>
    <mergeCell ref="G10:I13"/>
    <mergeCell ref="J10:L13"/>
    <mergeCell ref="A15:L15"/>
    <mergeCell ref="A38:F38"/>
    <mergeCell ref="G38:L38"/>
    <mergeCell ref="A40:C40"/>
    <mergeCell ref="D40:E40"/>
    <mergeCell ref="G40:I40"/>
    <mergeCell ref="J40:K40"/>
  </mergeCells>
  <pageMargins left="0.25" right="0.25" top="0.5" bottom="0.5" header="0.2" footer="0.2"/>
  <pageSetup orientation="landscape" fitToWidth="1" fitToHeight="0"/>
  <headerFooter>
    <oddFooter>COSAIF Comercial · Confidencial · Página &amp;P de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3"/>
  <sheetViews>
    <sheetView workbookViewId="0" showGridLines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9" width="13" customWidth="1"/>
  </cols>
  <sheetData>
    <row r="1" ht="28" customHeight="1" spans="1:9" x14ac:dyDescent="0.25">
      <c r="A1" s="26" t="s">
        <v>14</v>
      </c>
      <c r="B1" s="26" t="s">
        <v>31</v>
      </c>
      <c r="C1" s="26" t="s">
        <v>61</v>
      </c>
      <c r="D1" s="26" t="s">
        <v>59</v>
      </c>
      <c r="E1" s="26" t="s">
        <v>42</v>
      </c>
      <c r="F1" s="26" t="s">
        <v>43</v>
      </c>
      <c r="G1" s="26" t="s">
        <v>62</v>
      </c>
      <c r="H1" s="26" t="s">
        <v>63</v>
      </c>
      <c r="I1" s="26" t="s">
        <v>64</v>
      </c>
    </row>
    <row r="2" spans="1:9" s="27" customFormat="1" x14ac:dyDescent="0.25">
      <c r="A2" s="28" t="s">
        <v>19</v>
      </c>
      <c r="B2" s="28">
        <v>10</v>
      </c>
      <c r="C2" s="28">
        <v>4</v>
      </c>
      <c r="D2" s="28">
        <v>16</v>
      </c>
      <c r="E2" s="28">
        <v>0</v>
      </c>
      <c r="F2" s="28">
        <v>0</v>
      </c>
      <c r="G2" s="28">
        <v>14</v>
      </c>
      <c r="H2" s="28">
        <v>12</v>
      </c>
      <c r="I2" s="28">
        <v>1</v>
      </c>
    </row>
    <row r="3" spans="1:9" x14ac:dyDescent="0.25">
      <c r="A3" s="29" t="s">
        <v>20</v>
      </c>
      <c r="B3" s="29">
        <v>11</v>
      </c>
      <c r="C3" s="29">
        <v>5</v>
      </c>
      <c r="D3" s="29">
        <v>17</v>
      </c>
      <c r="E3" s="29">
        <v>1</v>
      </c>
      <c r="F3" s="29">
        <v>1</v>
      </c>
      <c r="G3" s="29">
        <v>16</v>
      </c>
      <c r="H3" s="29">
        <v>13</v>
      </c>
      <c r="I3" s="29">
        <v>1</v>
      </c>
    </row>
    <row r="4" spans="1:9" s="27" customFormat="1" x14ac:dyDescent="0.25">
      <c r="A4" s="28" t="s">
        <v>21</v>
      </c>
      <c r="B4" s="28">
        <v>12</v>
      </c>
      <c r="C4" s="28">
        <v>6</v>
      </c>
      <c r="D4" s="28">
        <v>18</v>
      </c>
      <c r="E4" s="28">
        <v>2</v>
      </c>
      <c r="F4" s="28">
        <v>0</v>
      </c>
      <c r="G4" s="28">
        <v>18</v>
      </c>
      <c r="H4" s="28">
        <v>14</v>
      </c>
      <c r="I4" s="28">
        <v>1</v>
      </c>
    </row>
    <row r="5" spans="1:9" x14ac:dyDescent="0.25">
      <c r="A5" s="29" t="s">
        <v>22</v>
      </c>
      <c r="B5" s="29">
        <v>13</v>
      </c>
      <c r="C5" s="29">
        <v>7</v>
      </c>
      <c r="D5" s="29">
        <v>19</v>
      </c>
      <c r="E5" s="29">
        <v>0</v>
      </c>
      <c r="F5" s="29">
        <v>1</v>
      </c>
      <c r="G5" s="29">
        <v>20</v>
      </c>
      <c r="H5" s="29">
        <v>15</v>
      </c>
      <c r="I5" s="29">
        <v>1</v>
      </c>
    </row>
    <row r="6" spans="1:9" s="27" customFormat="1" x14ac:dyDescent="0.25">
      <c r="A6" s="28" t="s">
        <v>23</v>
      </c>
      <c r="B6" s="28">
        <v>14</v>
      </c>
      <c r="C6" s="28">
        <v>8</v>
      </c>
      <c r="D6" s="28">
        <v>20</v>
      </c>
      <c r="E6" s="28">
        <v>1</v>
      </c>
      <c r="F6" s="28">
        <v>0</v>
      </c>
      <c r="G6" s="28">
        <v>22</v>
      </c>
      <c r="H6" s="28">
        <v>16</v>
      </c>
      <c r="I6" s="28">
        <v>1</v>
      </c>
    </row>
    <row r="7" spans="1:9" x14ac:dyDescent="0.25">
      <c r="A7" s="29" t="s">
        <v>24</v>
      </c>
      <c r="B7" s="29">
        <v>15</v>
      </c>
      <c r="C7" s="29">
        <v>9</v>
      </c>
      <c r="D7" s="29">
        <v>21</v>
      </c>
      <c r="E7" s="29">
        <v>2</v>
      </c>
      <c r="F7" s="29">
        <v>1</v>
      </c>
      <c r="G7" s="29">
        <v>24</v>
      </c>
      <c r="H7" s="29">
        <v>17</v>
      </c>
      <c r="I7" s="29">
        <v>1</v>
      </c>
    </row>
    <row r="8" spans="1:9" s="27" customFormat="1" x14ac:dyDescent="0.25">
      <c r="A8" s="28" t="s">
        <v>25</v>
      </c>
      <c r="B8" s="28">
        <v>16</v>
      </c>
      <c r="C8" s="28">
        <v>10</v>
      </c>
      <c r="D8" s="28">
        <v>22</v>
      </c>
      <c r="E8" s="28">
        <v>0</v>
      </c>
      <c r="F8" s="28">
        <v>0</v>
      </c>
      <c r="G8" s="28">
        <v>26</v>
      </c>
      <c r="H8" s="28">
        <v>18</v>
      </c>
      <c r="I8" s="28">
        <v>1</v>
      </c>
    </row>
    <row r="9" spans="1:9" x14ac:dyDescent="0.25">
      <c r="A9" s="29" t="s">
        <v>26</v>
      </c>
      <c r="B9" s="29">
        <v>17</v>
      </c>
      <c r="C9" s="29">
        <v>11</v>
      </c>
      <c r="D9" s="29">
        <v>23</v>
      </c>
      <c r="E9" s="29">
        <v>1</v>
      </c>
      <c r="F9" s="29">
        <v>1</v>
      </c>
      <c r="G9" s="29">
        <v>28</v>
      </c>
      <c r="H9" s="29">
        <v>19</v>
      </c>
      <c r="I9" s="29">
        <v>1</v>
      </c>
    </row>
    <row r="10" spans="1:9" s="27" customFormat="1" x14ac:dyDescent="0.25">
      <c r="A10" s="28" t="s">
        <v>27</v>
      </c>
      <c r="B10" s="28">
        <v>18</v>
      </c>
      <c r="C10" s="28">
        <v>12</v>
      </c>
      <c r="D10" s="28">
        <v>24</v>
      </c>
      <c r="E10" s="28">
        <v>2</v>
      </c>
      <c r="F10" s="28">
        <v>0</v>
      </c>
      <c r="G10" s="28">
        <v>30</v>
      </c>
      <c r="H10" s="28">
        <v>20</v>
      </c>
      <c r="I10" s="28">
        <v>1</v>
      </c>
    </row>
    <row r="11" spans="1:9" x14ac:dyDescent="0.25">
      <c r="A11" s="29" t="s">
        <v>28</v>
      </c>
      <c r="B11" s="29">
        <v>19</v>
      </c>
      <c r="C11" s="29">
        <v>13</v>
      </c>
      <c r="D11" s="29">
        <v>25</v>
      </c>
      <c r="E11" s="29">
        <v>0</v>
      </c>
      <c r="F11" s="29">
        <v>1</v>
      </c>
      <c r="G11" s="29">
        <v>32</v>
      </c>
      <c r="H11" s="29">
        <v>21</v>
      </c>
      <c r="I11" s="29">
        <v>1</v>
      </c>
    </row>
    <row r="12" spans="1:9" s="27" customFormat="1" x14ac:dyDescent="0.25">
      <c r="A12" s="28" t="s">
        <v>29</v>
      </c>
      <c r="B12" s="28">
        <v>20</v>
      </c>
      <c r="C12" s="28">
        <v>14</v>
      </c>
      <c r="D12" s="28">
        <v>26</v>
      </c>
      <c r="E12" s="28">
        <v>1</v>
      </c>
      <c r="F12" s="28">
        <v>0</v>
      </c>
      <c r="G12" s="28">
        <v>34</v>
      </c>
      <c r="H12" s="28">
        <v>22</v>
      </c>
      <c r="I12" s="28">
        <v>1</v>
      </c>
    </row>
    <row r="13" spans="1:9" x14ac:dyDescent="0.25">
      <c r="A13" s="29" t="s">
        <v>30</v>
      </c>
      <c r="B13" s="29">
        <v>21</v>
      </c>
      <c r="C13" s="29">
        <v>15</v>
      </c>
      <c r="D13" s="29">
        <v>27</v>
      </c>
      <c r="E13" s="29">
        <v>2</v>
      </c>
      <c r="F13" s="29">
        <v>1</v>
      </c>
      <c r="G13" s="29">
        <v>36</v>
      </c>
      <c r="H13" s="29">
        <v>23</v>
      </c>
      <c r="I13" s="29">
        <v>1</v>
      </c>
    </row>
  </sheetData>
  <autoFilter ref="A1:I1"/>
  <pageMargins left="0.25" right="0.25" top="0.5" bottom="0.5" header="0.2" footer="0.2"/>
  <pageSetup orientation="landscape" fitToWidth="1" fitToHeight="0"/>
  <headerFooter>
    <oddFooter>COSAIF Comercial · Confidencial · 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showGridLines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8" customWidth="1"/>
    <col min="2" max="2" width="12" customWidth="1"/>
    <col min="3" max="8" width="13" customWidth="1"/>
  </cols>
  <sheetData>
    <row r="1" ht="28" customHeight="1" spans="1:8" x14ac:dyDescent="0.25">
      <c r="A1" s="26" t="s">
        <v>49</v>
      </c>
      <c r="B1" s="26" t="s">
        <v>62</v>
      </c>
      <c r="C1" s="26" t="s">
        <v>63</v>
      </c>
      <c r="D1" s="26" t="s">
        <v>31</v>
      </c>
      <c r="E1" s="26" t="s">
        <v>61</v>
      </c>
      <c r="F1" s="26" t="s">
        <v>59</v>
      </c>
      <c r="G1" s="26" t="s">
        <v>42</v>
      </c>
      <c r="H1" s="26" t="s">
        <v>43</v>
      </c>
    </row>
    <row r="2" spans="1:8" s="27" customFormat="1" x14ac:dyDescent="0.25">
      <c r="A2" s="28" t="s">
        <v>51</v>
      </c>
      <c r="B2" s="28">
        <v>210</v>
      </c>
      <c r="C2" s="28">
        <v>190</v>
      </c>
      <c r="D2" s="28">
        <v>135</v>
      </c>
      <c r="E2" s="28">
        <v>75</v>
      </c>
      <c r="F2" s="28">
        <v>260</v>
      </c>
      <c r="G2" s="28">
        <v>18</v>
      </c>
      <c r="H2" s="28">
        <v>9</v>
      </c>
    </row>
  </sheetData>
  <autoFilter ref="A1:H1"/>
  <pageMargins left="0.25" right="0.25" top="0.5" bottom="0.5" header="0.2" footer="0.2"/>
  <pageSetup orientation="landscape" fitToWidth="1" fitToHeight="0"/>
  <headerFooter>
    <oddFooter>COSAIF Comercial · Confidencial · 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showGridLines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30" customWidth="1"/>
    <col min="2" max="2" width="12" customWidth="1"/>
    <col min="3" max="8" width="13" customWidth="1"/>
  </cols>
  <sheetData>
    <row r="1" ht="28" customHeight="1" spans="1:8" x14ac:dyDescent="0.25">
      <c r="A1" s="26" t="s">
        <v>46</v>
      </c>
      <c r="B1" s="26" t="s">
        <v>62</v>
      </c>
      <c r="C1" s="26" t="s">
        <v>63</v>
      </c>
      <c r="D1" s="26" t="s">
        <v>31</v>
      </c>
      <c r="E1" s="26" t="s">
        <v>61</v>
      </c>
      <c r="F1" s="26" t="s">
        <v>59</v>
      </c>
      <c r="G1" s="26" t="s">
        <v>42</v>
      </c>
      <c r="H1" s="26" t="s">
        <v>43</v>
      </c>
    </row>
    <row r="2" spans="1:8" s="27" customFormat="1" x14ac:dyDescent="0.25">
      <c r="A2" s="28" t="s">
        <v>50</v>
      </c>
      <c r="B2" s="28">
        <v>210</v>
      </c>
      <c r="C2" s="28">
        <v>190</v>
      </c>
      <c r="D2" s="28">
        <v>135</v>
      </c>
      <c r="E2" s="28">
        <v>75</v>
      </c>
      <c r="F2" s="28">
        <v>260</v>
      </c>
      <c r="G2" s="28">
        <v>18</v>
      </c>
      <c r="H2" s="28">
        <v>9</v>
      </c>
    </row>
  </sheetData>
  <autoFilter ref="A1:H1"/>
  <pageMargins left="0.25" right="0.25" top="0.5" bottom="0.5" header="0.2" footer="0.2"/>
  <pageSetup orientation="landscape" fitToWidth="1" fitToHeight="0"/>
  <headerFooter>
    <oddFooter>COSAIF Comercial · Confidencial · 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showGridLines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8" customWidth="1"/>
    <col min="2" max="2" width="18" customWidth="1"/>
    <col min="3" max="3" width="32" customWidth="1"/>
    <col min="4" max="4" width="15" customWidth="1"/>
    <col min="5" max="6" width="14" style="30" customWidth="1"/>
    <col min="7" max="7" width="14" customWidth="1"/>
    <col min="8" max="8" width="18" style="31" customWidth="1"/>
    <col min="9" max="9" width="20" customWidth="1"/>
    <col min="10" max="10" width="48" customWidth="1"/>
  </cols>
  <sheetData>
    <row r="1" ht="28" customHeight="1" spans="1:10" x14ac:dyDescent="0.25">
      <c r="A1" s="26" t="s">
        <v>46</v>
      </c>
      <c r="B1" s="26" t="s">
        <v>65</v>
      </c>
      <c r="C1" s="26" t="s">
        <v>66</v>
      </c>
      <c r="D1" s="26" t="s">
        <v>67</v>
      </c>
      <c r="E1" s="32" t="s">
        <v>68</v>
      </c>
      <c r="F1" s="32" t="s">
        <v>69</v>
      </c>
      <c r="G1" s="26" t="s">
        <v>70</v>
      </c>
      <c r="H1" s="33" t="s">
        <v>71</v>
      </c>
      <c r="I1" s="26" t="s">
        <v>72</v>
      </c>
      <c r="J1" s="26" t="s">
        <v>73</v>
      </c>
    </row>
    <row r="2" spans="1:10" s="27" customFormat="1" x14ac:dyDescent="0.25">
      <c r="A2" s="28" t="s">
        <v>50</v>
      </c>
      <c r="B2" s="28" t="s">
        <v>74</v>
      </c>
      <c r="C2" s="28" t="s">
        <v>75</v>
      </c>
      <c r="D2" s="28" t="s">
        <v>76</v>
      </c>
      <c r="E2" s="34">
        <v>46023</v>
      </c>
      <c r="F2" s="34">
        <v>46387</v>
      </c>
      <c r="G2" s="28" t="s">
        <v>77</v>
      </c>
      <c r="H2" s="35"/>
      <c r="J2" s="28" t="s">
        <v>78</v>
      </c>
    </row>
    <row r="3" spans="1:10" x14ac:dyDescent="0.25">
      <c r="A3" s="29" t="s">
        <v>50</v>
      </c>
      <c r="B3" s="29" t="s">
        <v>79</v>
      </c>
      <c r="C3" s="29" t="s">
        <v>80</v>
      </c>
      <c r="D3" s="29" t="s">
        <v>76</v>
      </c>
      <c r="E3" s="36">
        <v>46023</v>
      </c>
      <c r="F3" s="36">
        <v>46387</v>
      </c>
      <c r="G3" s="29" t="s">
        <v>81</v>
      </c>
      <c r="H3" s="31"/>
      <c r="J3" s="29" t="s">
        <v>82</v>
      </c>
    </row>
  </sheetData>
  <autoFilter ref="A1:J1"/>
  <pageMargins left="0.25" right="0.25" top="0.5" bottom="0.5" header="0.2" footer="0.2"/>
  <pageSetup orientation="landscape" fitToWidth="1" fitToHeight="0"/>
  <headerFooter>
    <oddFooter>COSAIF Comercial · Confidencial · Página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"/>
  <sheetViews>
    <sheetView workbookViewId="0" showGridLines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0" customWidth="1"/>
    <col min="2" max="2" width="27" customWidth="1"/>
    <col min="3" max="4" width="17" customWidth="1"/>
    <col min="5" max="5" width="34" customWidth="1"/>
    <col min="6" max="6" width="15" customWidth="1"/>
    <col min="7" max="7" width="14" customWidth="1"/>
    <col min="8" max="8" width="22" customWidth="1"/>
    <col min="9" max="9" width="14" customWidth="1"/>
    <col min="10" max="10" width="18" customWidth="1"/>
    <col min="11" max="11" width="30" customWidth="1"/>
    <col min="12" max="13" width="13" customWidth="1"/>
    <col min="14" max="14" width="14" style="24" customWidth="1"/>
    <col min="15" max="15" width="13" customWidth="1"/>
    <col min="16" max="16" width="20" customWidth="1"/>
    <col min="17" max="17" width="16" customWidth="1"/>
    <col min="18" max="18" width="15" customWidth="1"/>
  </cols>
  <sheetData>
    <row r="1" ht="28" customHeight="1" spans="1:18" x14ac:dyDescent="0.25">
      <c r="A1" s="26" t="s">
        <v>83</v>
      </c>
      <c r="B1" s="26" t="s">
        <v>46</v>
      </c>
      <c r="C1" s="26" t="s">
        <v>66</v>
      </c>
      <c r="D1" s="26" t="s">
        <v>84</v>
      </c>
      <c r="E1" s="26" t="s">
        <v>85</v>
      </c>
      <c r="F1" s="26" t="s">
        <v>86</v>
      </c>
      <c r="G1" s="26" t="s">
        <v>87</v>
      </c>
      <c r="H1" s="26" t="s">
        <v>49</v>
      </c>
      <c r="I1" s="26" t="s">
        <v>88</v>
      </c>
      <c r="J1" s="26" t="s">
        <v>89</v>
      </c>
      <c r="K1" s="26" t="s">
        <v>90</v>
      </c>
      <c r="L1" s="26" t="s">
        <v>91</v>
      </c>
      <c r="M1" s="26" t="s">
        <v>92</v>
      </c>
      <c r="N1" s="37" t="s">
        <v>93</v>
      </c>
      <c r="O1" s="26" t="s">
        <v>94</v>
      </c>
      <c r="P1" s="26" t="s">
        <v>70</v>
      </c>
      <c r="Q1" s="26" t="s">
        <v>95</v>
      </c>
      <c r="R1" s="26" t="s">
        <v>96</v>
      </c>
    </row>
    <row r="2" spans="1:18" s="27" customFormat="1" x14ac:dyDescent="0.25">
      <c r="A2" s="28" t="s">
        <v>97</v>
      </c>
      <c r="B2" s="28" t="s">
        <v>50</v>
      </c>
      <c r="C2" s="28" t="s">
        <v>74</v>
      </c>
      <c r="D2" s="28" t="s">
        <v>76</v>
      </c>
      <c r="E2" s="28" t="s">
        <v>98</v>
      </c>
      <c r="F2" s="28" t="s">
        <v>16</v>
      </c>
      <c r="G2" s="28" t="s">
        <v>99</v>
      </c>
      <c r="H2" s="28" t="s">
        <v>51</v>
      </c>
      <c r="I2" s="28" t="s">
        <v>100</v>
      </c>
      <c r="J2" s="28" t="s">
        <v>101</v>
      </c>
      <c r="K2" s="28" t="s">
        <v>102</v>
      </c>
      <c r="L2" s="28">
        <v>3</v>
      </c>
      <c r="M2" s="28">
        <v>0</v>
      </c>
      <c r="N2" s="38">
        <v>0</v>
      </c>
      <c r="O2" s="28">
        <v>0</v>
      </c>
      <c r="P2" s="28" t="s">
        <v>103</v>
      </c>
      <c r="Q2" s="28" t="s">
        <v>104</v>
      </c>
      <c r="R2" s="39" t="s">
        <v>105</v>
      </c>
    </row>
    <row r="3" spans="1:18" x14ac:dyDescent="0.25">
      <c r="A3" s="29" t="s">
        <v>97</v>
      </c>
      <c r="B3" s="29" t="s">
        <v>50</v>
      </c>
      <c r="C3" s="29" t="s">
        <v>74</v>
      </c>
      <c r="D3" s="29" t="s">
        <v>76</v>
      </c>
      <c r="E3" s="29" t="s">
        <v>106</v>
      </c>
      <c r="F3" s="29" t="s">
        <v>17</v>
      </c>
      <c r="G3" s="29" t="s">
        <v>99</v>
      </c>
      <c r="H3" s="29" t="s">
        <v>51</v>
      </c>
      <c r="I3" s="29" t="s">
        <v>107</v>
      </c>
      <c r="J3" s="29" t="s">
        <v>101</v>
      </c>
      <c r="K3" s="29" t="s">
        <v>102</v>
      </c>
      <c r="L3" s="29">
        <v>0</v>
      </c>
      <c r="M3" s="29">
        <v>0</v>
      </c>
      <c r="N3" s="24"/>
      <c r="O3" s="29">
        <v>0</v>
      </c>
      <c r="P3" s="29" t="s">
        <v>103</v>
      </c>
      <c r="Q3" s="29" t="s">
        <v>104</v>
      </c>
      <c r="R3" s="39" t="s">
        <v>105</v>
      </c>
    </row>
    <row r="4" spans="1:18" s="27" customFormat="1" x14ac:dyDescent="0.25">
      <c r="A4" s="28" t="s">
        <v>97</v>
      </c>
      <c r="B4" s="28" t="s">
        <v>50</v>
      </c>
      <c r="C4" s="28" t="s">
        <v>79</v>
      </c>
      <c r="D4" s="28" t="s">
        <v>76</v>
      </c>
      <c r="E4" s="28" t="s">
        <v>108</v>
      </c>
      <c r="F4" s="28" t="s">
        <v>31</v>
      </c>
      <c r="G4" s="28" t="s">
        <v>109</v>
      </c>
      <c r="H4" s="28" t="s">
        <v>51</v>
      </c>
      <c r="I4" s="28" t="s">
        <v>110</v>
      </c>
      <c r="J4" s="28" t="s">
        <v>101</v>
      </c>
      <c r="K4" s="28" t="s">
        <v>102</v>
      </c>
      <c r="L4" s="27"/>
      <c r="M4" s="28">
        <v>0</v>
      </c>
      <c r="N4" s="40"/>
      <c r="O4" s="28">
        <v>0</v>
      </c>
      <c r="P4" s="28" t="s">
        <v>111</v>
      </c>
      <c r="Q4" s="28" t="s">
        <v>112</v>
      </c>
      <c r="R4" s="41" t="s">
        <v>113</v>
      </c>
    </row>
    <row r="5" spans="1:18" x14ac:dyDescent="0.25">
      <c r="A5" s="29" t="s">
        <v>114</v>
      </c>
      <c r="B5" s="29" t="s">
        <v>50</v>
      </c>
      <c r="C5" s="29" t="s">
        <v>74</v>
      </c>
      <c r="D5" s="29" t="s">
        <v>76</v>
      </c>
      <c r="E5" s="29" t="s">
        <v>98</v>
      </c>
      <c r="F5" s="29" t="s">
        <v>16</v>
      </c>
      <c r="G5" s="29" t="s">
        <v>99</v>
      </c>
      <c r="H5" s="29" t="s">
        <v>51</v>
      </c>
      <c r="I5" s="29" t="s">
        <v>100</v>
      </c>
      <c r="J5" s="29" t="s">
        <v>101</v>
      </c>
      <c r="K5" s="29" t="s">
        <v>102</v>
      </c>
      <c r="L5" s="29">
        <v>3</v>
      </c>
      <c r="M5" s="29">
        <v>4</v>
      </c>
      <c r="N5" s="42">
        <v>1.3333333333333333</v>
      </c>
      <c r="O5" s="29">
        <v>1</v>
      </c>
      <c r="P5" s="29" t="s">
        <v>115</v>
      </c>
      <c r="Q5" s="29" t="s">
        <v>116</v>
      </c>
      <c r="R5" s="43" t="s">
        <v>117</v>
      </c>
    </row>
    <row r="6" spans="1:18" s="27" customFormat="1" x14ac:dyDescent="0.25">
      <c r="A6" s="28" t="s">
        <v>114</v>
      </c>
      <c r="B6" s="28" t="s">
        <v>50</v>
      </c>
      <c r="C6" s="28" t="s">
        <v>74</v>
      </c>
      <c r="D6" s="28" t="s">
        <v>76</v>
      </c>
      <c r="E6" s="28" t="s">
        <v>106</v>
      </c>
      <c r="F6" s="28" t="s">
        <v>17</v>
      </c>
      <c r="G6" s="28" t="s">
        <v>99</v>
      </c>
      <c r="H6" s="28" t="s">
        <v>51</v>
      </c>
      <c r="I6" s="28" t="s">
        <v>107</v>
      </c>
      <c r="J6" s="28" t="s">
        <v>101</v>
      </c>
      <c r="K6" s="28" t="s">
        <v>102</v>
      </c>
      <c r="L6" s="28">
        <v>0</v>
      </c>
      <c r="M6" s="28">
        <v>1</v>
      </c>
      <c r="N6" s="40"/>
      <c r="O6" s="28">
        <v>1</v>
      </c>
      <c r="P6" s="28" t="s">
        <v>115</v>
      </c>
      <c r="Q6" s="28" t="s">
        <v>116</v>
      </c>
      <c r="R6" s="39" t="s">
        <v>105</v>
      </c>
    </row>
    <row r="7" spans="1:18" x14ac:dyDescent="0.25">
      <c r="A7" s="29" t="s">
        <v>114</v>
      </c>
      <c r="B7" s="29" t="s">
        <v>50</v>
      </c>
      <c r="C7" s="29" t="s">
        <v>79</v>
      </c>
      <c r="D7" s="29" t="s">
        <v>76</v>
      </c>
      <c r="E7" s="29" t="s">
        <v>108</v>
      </c>
      <c r="F7" s="29" t="s">
        <v>31</v>
      </c>
      <c r="G7" s="29" t="s">
        <v>109</v>
      </c>
      <c r="H7" s="29" t="s">
        <v>51</v>
      </c>
      <c r="I7" s="29" t="s">
        <v>110</v>
      </c>
      <c r="J7" s="29" t="s">
        <v>101</v>
      </c>
      <c r="K7" s="29" t="s">
        <v>102</v>
      </c>
      <c r="M7" s="29">
        <v>0</v>
      </c>
      <c r="N7" s="24"/>
      <c r="O7" s="29">
        <v>0</v>
      </c>
      <c r="P7" s="29" t="s">
        <v>118</v>
      </c>
      <c r="Q7" s="29" t="s">
        <v>104</v>
      </c>
      <c r="R7" s="41" t="s">
        <v>113</v>
      </c>
    </row>
  </sheetData>
  <autoFilter ref="A1:R1"/>
  <pageMargins left="0.25" right="0.25" top="0.5" bottom="0.5" header="0.2" footer="0.2"/>
  <pageSetup orientation="landscape" fitToWidth="1" fitToHeight="0"/>
  <headerFooter>
    <oddFooter>COSAIF Comercial · Confidencial · Página 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5"/>
  <sheetViews>
    <sheetView workbookViewId="0" showGridLines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0" customWidth="1"/>
    <col min="2" max="2" width="12" customWidth="1"/>
    <col min="3" max="3" width="28" customWidth="1"/>
    <col min="4" max="4" width="20" customWidth="1"/>
    <col min="5" max="5" width="32" customWidth="1"/>
    <col min="6" max="6" width="28" customWidth="1"/>
    <col min="7" max="8" width="16" customWidth="1"/>
    <col min="9" max="9" width="13" customWidth="1"/>
    <col min="10" max="10" width="22" customWidth="1"/>
    <col min="11" max="11" width="13" customWidth="1"/>
    <col min="12" max="15" width="15" style="30" customWidth="1"/>
    <col min="16" max="17" width="13" customWidth="1"/>
    <col min="18" max="18" width="20" customWidth="1"/>
    <col min="19" max="19" width="25" customWidth="1"/>
    <col min="20" max="22" width="18" style="31" customWidth="1"/>
    <col min="23" max="23" width="16" customWidth="1"/>
    <col min="24" max="24" width="19" style="44" customWidth="1"/>
    <col min="25" max="25" width="18" customWidth="1"/>
    <col min="26" max="26" width="19" style="44" customWidth="1"/>
  </cols>
  <sheetData>
    <row r="1" ht="28" customHeight="1" spans="1:26" x14ac:dyDescent="0.25">
      <c r="A1" s="26" t="s">
        <v>83</v>
      </c>
      <c r="B1" s="26" t="s">
        <v>119</v>
      </c>
      <c r="C1" s="26" t="s">
        <v>46</v>
      </c>
      <c r="D1" s="26" t="s">
        <v>70</v>
      </c>
      <c r="E1" s="26" t="s">
        <v>66</v>
      </c>
      <c r="F1" s="26" t="s">
        <v>120</v>
      </c>
      <c r="G1" s="26" t="s">
        <v>67</v>
      </c>
      <c r="H1" s="26" t="s">
        <v>96</v>
      </c>
      <c r="I1" s="26" t="s">
        <v>121</v>
      </c>
      <c r="J1" s="26" t="s">
        <v>122</v>
      </c>
      <c r="K1" s="26" t="s">
        <v>123</v>
      </c>
      <c r="L1" s="32" t="s">
        <v>124</v>
      </c>
      <c r="M1" s="32" t="s">
        <v>125</v>
      </c>
      <c r="N1" s="32" t="s">
        <v>126</v>
      </c>
      <c r="O1" s="32" t="s">
        <v>127</v>
      </c>
      <c r="P1" s="26" t="s">
        <v>128</v>
      </c>
      <c r="Q1" s="26" t="s">
        <v>129</v>
      </c>
      <c r="R1" s="26" t="s">
        <v>130</v>
      </c>
      <c r="S1" s="26" t="s">
        <v>131</v>
      </c>
      <c r="T1" s="33" t="s">
        <v>132</v>
      </c>
      <c r="U1" s="33" t="s">
        <v>133</v>
      </c>
      <c r="V1" s="33" t="s">
        <v>134</v>
      </c>
      <c r="W1" s="26" t="s">
        <v>135</v>
      </c>
      <c r="X1" s="45" t="s">
        <v>136</v>
      </c>
      <c r="Y1" s="26" t="s">
        <v>137</v>
      </c>
      <c r="Z1" s="45" t="s">
        <v>138</v>
      </c>
    </row>
    <row r="2" spans="1:26" s="27" customFormat="1" x14ac:dyDescent="0.25">
      <c r="A2" s="28" t="s">
        <v>97</v>
      </c>
      <c r="B2" s="28" t="s">
        <v>139</v>
      </c>
      <c r="C2" s="28" t="s">
        <v>50</v>
      </c>
      <c r="D2" s="28" t="s">
        <v>103</v>
      </c>
      <c r="E2" s="28" t="s">
        <v>140</v>
      </c>
      <c r="F2" s="28" t="s">
        <v>141</v>
      </c>
      <c r="G2" s="46" t="s">
        <v>104</v>
      </c>
      <c r="H2" s="46" t="s">
        <v>142</v>
      </c>
      <c r="I2" s="28" t="s">
        <v>143</v>
      </c>
      <c r="J2" s="28" t="s">
        <v>144</v>
      </c>
      <c r="K2" s="28" t="s">
        <v>145</v>
      </c>
      <c r="L2" s="34">
        <v>46023</v>
      </c>
      <c r="M2" s="34">
        <v>46053</v>
      </c>
      <c r="N2" s="34">
        <v>46053</v>
      </c>
      <c r="O2" s="47"/>
      <c r="P2" s="28">
        <v>0</v>
      </c>
      <c r="Q2" s="28">
        <v>0</v>
      </c>
      <c r="R2" s="27"/>
      <c r="S2" s="48" t="s">
        <v>146</v>
      </c>
      <c r="T2" s="49">
        <v>6200</v>
      </c>
      <c r="U2" s="49">
        <v>0</v>
      </c>
      <c r="V2" s="49">
        <v>6200</v>
      </c>
      <c r="W2" s="27"/>
      <c r="X2" s="50"/>
      <c r="Y2" s="27"/>
      <c r="Z2" s="50"/>
    </row>
    <row r="3" spans="1:26" x14ac:dyDescent="0.25">
      <c r="A3" s="29" t="s">
        <v>97</v>
      </c>
      <c r="B3" s="29" t="s">
        <v>139</v>
      </c>
      <c r="C3" s="29" t="s">
        <v>50</v>
      </c>
      <c r="D3" s="29" t="s">
        <v>111</v>
      </c>
      <c r="E3" s="29" t="s">
        <v>147</v>
      </c>
      <c r="F3" s="29" t="s">
        <v>31</v>
      </c>
      <c r="G3" s="51" t="s">
        <v>112</v>
      </c>
      <c r="H3" s="46" t="s">
        <v>142</v>
      </c>
      <c r="I3" s="29" t="s">
        <v>148</v>
      </c>
      <c r="J3" s="29" t="s">
        <v>149</v>
      </c>
      <c r="K3" s="29" t="s">
        <v>150</v>
      </c>
      <c r="L3" s="36">
        <v>46023</v>
      </c>
      <c r="M3" s="36">
        <v>46053</v>
      </c>
      <c r="N3" s="36">
        <v>46053</v>
      </c>
      <c r="O3" s="30"/>
      <c r="P3" s="29">
        <v>0</v>
      </c>
      <c r="Q3" s="29">
        <v>0</v>
      </c>
      <c r="S3" s="52" t="s">
        <v>151</v>
      </c>
      <c r="T3" s="31"/>
      <c r="U3" s="53">
        <v>0</v>
      </c>
      <c r="V3" s="31"/>
      <c r="W3" s="29">
        <v>7</v>
      </c>
      <c r="X3" s="54">
        <v>46054.375</v>
      </c>
      <c r="Y3" s="29">
        <v>7</v>
      </c>
      <c r="Z3" s="54">
        <v>46054.375</v>
      </c>
    </row>
    <row r="4" spans="1:26" s="27" customFormat="1" x14ac:dyDescent="0.25">
      <c r="A4" s="28" t="s">
        <v>114</v>
      </c>
      <c r="B4" s="28" t="s">
        <v>152</v>
      </c>
      <c r="C4" s="28" t="s">
        <v>50</v>
      </c>
      <c r="D4" s="28" t="s">
        <v>115</v>
      </c>
      <c r="E4" s="28" t="s">
        <v>140</v>
      </c>
      <c r="F4" s="28" t="s">
        <v>141</v>
      </c>
      <c r="G4" s="55" t="s">
        <v>116</v>
      </c>
      <c r="H4" s="55" t="s">
        <v>153</v>
      </c>
      <c r="I4" s="28" t="s">
        <v>154</v>
      </c>
      <c r="J4" s="28" t="s">
        <v>144</v>
      </c>
      <c r="K4" s="28" t="s">
        <v>150</v>
      </c>
      <c r="L4" s="34">
        <v>46357</v>
      </c>
      <c r="M4" s="34">
        <v>46387</v>
      </c>
      <c r="N4" s="34">
        <v>46387</v>
      </c>
      <c r="O4" s="34">
        <v>46417</v>
      </c>
      <c r="P4" s="28">
        <v>5</v>
      </c>
      <c r="Q4" s="28">
        <v>2</v>
      </c>
      <c r="R4" s="28" t="s">
        <v>155</v>
      </c>
      <c r="S4" s="48" t="s">
        <v>146</v>
      </c>
      <c r="T4" s="49">
        <v>7250</v>
      </c>
      <c r="U4" s="49">
        <v>7250</v>
      </c>
      <c r="V4" s="49">
        <v>0</v>
      </c>
      <c r="W4" s="28">
        <v>7</v>
      </c>
      <c r="X4" s="56">
        <v>46389.375</v>
      </c>
      <c r="Y4" s="28">
        <v>9</v>
      </c>
      <c r="Z4" s="56">
        <v>46402.680555555555</v>
      </c>
    </row>
    <row r="5" spans="1:26" x14ac:dyDescent="0.25">
      <c r="A5" s="29" t="s">
        <v>114</v>
      </c>
      <c r="B5" s="29" t="s">
        <v>152</v>
      </c>
      <c r="C5" s="29" t="s">
        <v>50</v>
      </c>
      <c r="D5" s="29" t="s">
        <v>118</v>
      </c>
      <c r="E5" s="29" t="s">
        <v>147</v>
      </c>
      <c r="F5" s="29" t="s">
        <v>31</v>
      </c>
      <c r="G5" s="46" t="s">
        <v>104</v>
      </c>
      <c r="H5" s="46" t="s">
        <v>142</v>
      </c>
      <c r="I5" s="29" t="s">
        <v>143</v>
      </c>
      <c r="J5" s="29" t="s">
        <v>149</v>
      </c>
      <c r="K5" s="29" t="s">
        <v>145</v>
      </c>
      <c r="L5" s="36">
        <v>46357</v>
      </c>
      <c r="M5" s="36">
        <v>46387</v>
      </c>
      <c r="N5" s="36">
        <v>46387</v>
      </c>
      <c r="O5" s="30"/>
      <c r="P5" s="29">
        <v>0</v>
      </c>
      <c r="Q5" s="29">
        <v>0</v>
      </c>
      <c r="S5" s="52" t="s">
        <v>151</v>
      </c>
      <c r="T5" s="31"/>
      <c r="U5" s="53">
        <v>0</v>
      </c>
      <c r="V5" s="31"/>
      <c r="X5" s="44"/>
      <c r="Z5" s="44"/>
    </row>
  </sheetData>
  <autoFilter ref="A1:Z1"/>
  <pageMargins left="0.25" right="0.25" top="0.5" bottom="0.5" header="0.2" footer="0.2"/>
  <pageSetup orientation="landscape" fitToWidth="1" fitToHeight="0"/>
  <headerFooter>
    <oddFooter>COSAIF Comercial · Confidencial · Página &amp;P de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  <pageSetUpPr fitToPage="1"/>
  </sheetPr>
  <dimension ref="A1:H15"/>
  <sheetViews>
    <sheetView workbookViewId="0" showGridLines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18" customWidth="1"/>
    <col min="3" max="3" width="24" customWidth="1"/>
    <col min="4" max="4" width="18" customWidth="1"/>
    <col min="5" max="5" width="24" customWidth="1"/>
    <col min="6" max="6" width="18" customWidth="1"/>
    <col min="7" max="7" width="24" customWidth="1"/>
    <col min="8" max="8" width="18" customWidth="1"/>
  </cols>
  <sheetData>
    <row r="1" ht="28" customHeight="1" spans="1:8" x14ac:dyDescent="0.25">
      <c r="A1" s="1" t="s">
        <v>156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1"/>
      <c r="B2" s="1"/>
      <c r="C2" s="1"/>
      <c r="D2" s="1"/>
      <c r="E2" s="1"/>
      <c r="F2" s="1"/>
      <c r="G2" s="1"/>
      <c r="H2" s="1"/>
    </row>
    <row r="3" ht="24" customHeight="1" spans="1:8" x14ac:dyDescent="0.25">
      <c r="A3" s="2" t="s">
        <v>157</v>
      </c>
      <c r="B3" s="2"/>
      <c r="C3" s="2"/>
      <c r="D3" s="2"/>
      <c r="E3" s="2"/>
      <c r="F3" s="2"/>
      <c r="G3" s="2"/>
      <c r="H3" s="2"/>
    </row>
    <row r="5" ht="28" customHeight="1" spans="1:5" x14ac:dyDescent="0.25">
      <c r="A5" s="57" t="s">
        <v>158</v>
      </c>
      <c r="B5" s="58">
        <f>COUNTA('Cortes y estados'!$D$2:$D$5)</f>
      </c>
      <c r="D5" s="59" t="s">
        <v>67</v>
      </c>
      <c r="E5" s="59" t="s">
        <v>159</v>
      </c>
    </row>
    <row r="6" ht="28" customHeight="1" spans="1:5" x14ac:dyDescent="0.25">
      <c r="A6" s="57" t="s">
        <v>160</v>
      </c>
      <c r="B6" s="60">
        <f>COUNTIF('Cortes y estados'!$G$2:$G$5,"PAGADO")</f>
      </c>
      <c r="D6" s="61" t="s">
        <v>161</v>
      </c>
      <c r="E6" s="62">
        <f>COUNTIF('Cortes y estados'!$G$2:$G$5,D6)</f>
      </c>
    </row>
    <row r="7" ht="28" customHeight="1" spans="1:5" x14ac:dyDescent="0.25">
      <c r="A7" s="57" t="s">
        <v>162</v>
      </c>
      <c r="B7" s="63">
        <f>IF(B5=0,0,B6/B5)</f>
      </c>
      <c r="D7" s="64" t="s">
        <v>163</v>
      </c>
      <c r="E7" s="62">
        <f>COUNTIF('Cortes y estados'!$G$2:$G$5,D7)</f>
      </c>
    </row>
    <row r="8" ht="28" customHeight="1" spans="1:5" x14ac:dyDescent="0.25">
      <c r="A8" s="57" t="s">
        <v>132</v>
      </c>
      <c r="B8" s="65">
        <f>SUM('Cortes y estados'!$T$2:$T$5)</f>
      </c>
      <c r="D8" s="66" t="s">
        <v>112</v>
      </c>
      <c r="E8" s="62">
        <f>COUNTIF('Cortes y estados'!$G$2:$G$5,D8)</f>
      </c>
    </row>
    <row r="9" ht="28" customHeight="1" spans="1:5" x14ac:dyDescent="0.25">
      <c r="A9" s="57" t="s">
        <v>133</v>
      </c>
      <c r="B9" s="67">
        <f>SUM('Cortes y estados'!$U$2:$U$5)</f>
      </c>
      <c r="D9" s="68" t="s">
        <v>164</v>
      </c>
      <c r="E9" s="62">
        <f>COUNTIF('Cortes y estados'!$G$2:$G$5,D9)</f>
      </c>
    </row>
    <row r="10" ht="28" customHeight="1" spans="1:5" x14ac:dyDescent="0.25">
      <c r="A10" s="57" t="s">
        <v>134</v>
      </c>
      <c r="B10" s="69">
        <f>SUM('Cortes y estados'!$V$2:$V$5)</f>
      </c>
      <c r="D10" s="68" t="s">
        <v>165</v>
      </c>
      <c r="E10" s="62">
        <f>COUNTIF('Cortes y estados'!$G$2:$G$5,D10)</f>
      </c>
    </row>
    <row r="11" ht="28" customHeight="1" spans="1:5" x14ac:dyDescent="0.25">
      <c r="A11" s="57" t="s">
        <v>166</v>
      </c>
      <c r="B11" s="70">
        <f>COUNTIF('Cortes y estados'!$S$2:$S$5,"OPCIONAL / NO CAPTURADO")</f>
      </c>
      <c r="D11" s="71" t="s">
        <v>116</v>
      </c>
      <c r="E11" s="62">
        <f>COUNTIF('Cortes y estados'!$G$2:$G$5,D11)</f>
      </c>
    </row>
    <row r="12" spans="4:5" x14ac:dyDescent="0.25">
      <c r="D12" s="72" t="s">
        <v>167</v>
      </c>
      <c r="E12" s="62">
        <f>COUNTIF('Cortes y estados'!$G$2:$G$5,D12)</f>
      </c>
    </row>
    <row r="14" spans="1:8" x14ac:dyDescent="0.25">
      <c r="A14" s="73" t="s">
        <v>168</v>
      </c>
      <c r="B14" s="73"/>
      <c r="C14" s="73"/>
      <c r="D14" s="73"/>
      <c r="E14" s="73"/>
      <c r="F14" s="73"/>
      <c r="G14" s="73"/>
      <c r="H14" s="73"/>
    </row>
    <row r="15" spans="1:8" x14ac:dyDescent="0.25">
      <c r="A15" s="73"/>
      <c r="B15" s="73"/>
      <c r="C15" s="73"/>
      <c r="D15" s="73"/>
      <c r="E15" s="73"/>
      <c r="F15" s="73"/>
      <c r="G15" s="73"/>
      <c r="H15" s="73"/>
    </row>
  </sheetData>
  <mergeCells count="3">
    <mergeCell ref="A1:H2"/>
    <mergeCell ref="A3:H3"/>
    <mergeCell ref="A14:H15"/>
  </mergeCells>
  <pageMargins left="0.25" right="0.25" top="0.5" bottom="0.5" header="0.2" footer="0.2"/>
  <pageSetup orientation="landscape" fitToWidth="1" fitToHeight="0"/>
  <headerFooter>
    <oddFooter>COSAIF Comercial · Confidencial · Página &amp;P de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"/>
  <sheetViews>
    <sheetView workbookViewId="0" showGridLines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0" customWidth="1"/>
    <col min="2" max="2" width="28" customWidth="1"/>
    <col min="3" max="3" width="32" customWidth="1"/>
    <col min="4" max="4" width="20" customWidth="1"/>
    <col min="5" max="5" width="16" customWidth="1"/>
    <col min="6" max="6" width="17" customWidth="1"/>
    <col min="7" max="7" width="32" customWidth="1"/>
    <col min="8" max="8" width="15" customWidth="1"/>
    <col min="9" max="11" width="13" customWidth="1"/>
    <col min="12" max="15" width="18" style="31" customWidth="1"/>
    <col min="16" max="16" width="20" style="31" customWidth="1"/>
    <col min="17" max="18" width="18" style="31" customWidth="1"/>
    <col min="19" max="19" width="25" customWidth="1"/>
  </cols>
  <sheetData>
    <row r="1" ht="28" customHeight="1" spans="1:19" x14ac:dyDescent="0.25">
      <c r="A1" s="26" t="s">
        <v>83</v>
      </c>
      <c r="B1" s="26" t="s">
        <v>46</v>
      </c>
      <c r="C1" s="26" t="s">
        <v>66</v>
      </c>
      <c r="D1" s="26" t="s">
        <v>70</v>
      </c>
      <c r="E1" s="26" t="s">
        <v>67</v>
      </c>
      <c r="F1" s="26" t="s">
        <v>86</v>
      </c>
      <c r="G1" s="26" t="s">
        <v>169</v>
      </c>
      <c r="H1" s="26" t="s">
        <v>88</v>
      </c>
      <c r="I1" s="26" t="s">
        <v>91</v>
      </c>
      <c r="J1" s="26" t="s">
        <v>92</v>
      </c>
      <c r="K1" s="26" t="s">
        <v>94</v>
      </c>
      <c r="L1" s="33" t="s">
        <v>170</v>
      </c>
      <c r="M1" s="33" t="s">
        <v>171</v>
      </c>
      <c r="N1" s="33" t="s">
        <v>172</v>
      </c>
      <c r="O1" s="33" t="s">
        <v>173</v>
      </c>
      <c r="P1" s="33" t="s">
        <v>174</v>
      </c>
      <c r="Q1" s="33" t="s">
        <v>175</v>
      </c>
      <c r="R1" s="33" t="s">
        <v>176</v>
      </c>
      <c r="S1" s="26" t="s">
        <v>131</v>
      </c>
    </row>
    <row r="2" spans="1:19" s="27" customFormat="1" x14ac:dyDescent="0.25">
      <c r="A2" s="28" t="s">
        <v>97</v>
      </c>
      <c r="B2" s="28" t="s">
        <v>50</v>
      </c>
      <c r="C2" s="28" t="s">
        <v>140</v>
      </c>
      <c r="D2" s="28" t="s">
        <v>103</v>
      </c>
      <c r="E2" s="46" t="s">
        <v>104</v>
      </c>
      <c r="F2" s="28" t="s">
        <v>16</v>
      </c>
      <c r="G2" s="28" t="s">
        <v>98</v>
      </c>
      <c r="H2" s="28" t="s">
        <v>100</v>
      </c>
      <c r="I2" s="28">
        <v>3</v>
      </c>
      <c r="J2" s="28">
        <v>0</v>
      </c>
      <c r="K2" s="28">
        <v>0</v>
      </c>
      <c r="L2" s="49">
        <v>750</v>
      </c>
      <c r="M2" s="49">
        <v>5000</v>
      </c>
      <c r="N2" s="49">
        <v>0</v>
      </c>
      <c r="O2" s="49">
        <v>5000</v>
      </c>
      <c r="P2" s="49">
        <v>6200</v>
      </c>
      <c r="Q2" s="49">
        <v>0</v>
      </c>
      <c r="R2" s="49">
        <v>6200</v>
      </c>
      <c r="S2" s="28" t="s">
        <v>146</v>
      </c>
    </row>
    <row r="3" spans="1:19" x14ac:dyDescent="0.25">
      <c r="A3" s="29" t="s">
        <v>97</v>
      </c>
      <c r="B3" s="29" t="s">
        <v>50</v>
      </c>
      <c r="C3" s="29" t="s">
        <v>140</v>
      </c>
      <c r="D3" s="29" t="s">
        <v>103</v>
      </c>
      <c r="E3" s="46" t="s">
        <v>104</v>
      </c>
      <c r="F3" s="29" t="s">
        <v>17</v>
      </c>
      <c r="G3" s="29" t="s">
        <v>106</v>
      </c>
      <c r="H3" s="29" t="s">
        <v>107</v>
      </c>
      <c r="I3" s="29">
        <v>0</v>
      </c>
      <c r="J3" s="29">
        <v>0</v>
      </c>
      <c r="K3" s="29">
        <v>0</v>
      </c>
      <c r="L3" s="53">
        <v>300</v>
      </c>
      <c r="M3" s="53">
        <v>1200</v>
      </c>
      <c r="N3" s="53">
        <v>0</v>
      </c>
      <c r="O3" s="53">
        <v>1200</v>
      </c>
      <c r="P3" s="53">
        <v>6200</v>
      </c>
      <c r="Q3" s="53">
        <v>0</v>
      </c>
      <c r="R3" s="53">
        <v>6200</v>
      </c>
      <c r="S3" s="29" t="s">
        <v>146</v>
      </c>
    </row>
    <row r="4" spans="1:19" s="27" customFormat="1" x14ac:dyDescent="0.25">
      <c r="A4" s="28" t="s">
        <v>97</v>
      </c>
      <c r="B4" s="28" t="s">
        <v>50</v>
      </c>
      <c r="C4" s="28" t="s">
        <v>147</v>
      </c>
      <c r="D4" s="28" t="s">
        <v>111</v>
      </c>
      <c r="E4" s="51" t="s">
        <v>112</v>
      </c>
      <c r="F4" s="28" t="s">
        <v>31</v>
      </c>
      <c r="G4" s="28" t="s">
        <v>108</v>
      </c>
      <c r="H4" s="28" t="s">
        <v>110</v>
      </c>
      <c r="I4" s="27"/>
      <c r="J4" s="28">
        <v>0</v>
      </c>
      <c r="K4" s="28">
        <v>0</v>
      </c>
      <c r="L4" s="35"/>
      <c r="M4" s="35"/>
      <c r="N4" s="49">
        <v>0</v>
      </c>
      <c r="O4" s="49">
        <v>0</v>
      </c>
      <c r="P4" s="35"/>
      <c r="Q4" s="49">
        <v>0</v>
      </c>
      <c r="R4" s="35"/>
      <c r="S4" s="28" t="s">
        <v>151</v>
      </c>
    </row>
    <row r="5" spans="1:19" x14ac:dyDescent="0.25">
      <c r="A5" s="29" t="s">
        <v>114</v>
      </c>
      <c r="B5" s="29" t="s">
        <v>50</v>
      </c>
      <c r="C5" s="29" t="s">
        <v>140</v>
      </c>
      <c r="D5" s="29" t="s">
        <v>115</v>
      </c>
      <c r="E5" s="55" t="s">
        <v>116</v>
      </c>
      <c r="F5" s="29" t="s">
        <v>16</v>
      </c>
      <c r="G5" s="29" t="s">
        <v>98</v>
      </c>
      <c r="H5" s="29" t="s">
        <v>100</v>
      </c>
      <c r="I5" s="29">
        <v>3</v>
      </c>
      <c r="J5" s="29">
        <v>4</v>
      </c>
      <c r="K5" s="29">
        <v>1</v>
      </c>
      <c r="L5" s="53">
        <v>750</v>
      </c>
      <c r="M5" s="53">
        <v>5000</v>
      </c>
      <c r="N5" s="53">
        <v>750</v>
      </c>
      <c r="O5" s="53">
        <v>5750</v>
      </c>
      <c r="P5" s="53">
        <v>7250</v>
      </c>
      <c r="Q5" s="53">
        <v>7250</v>
      </c>
      <c r="R5" s="53">
        <v>0</v>
      </c>
      <c r="S5" s="29" t="s">
        <v>146</v>
      </c>
    </row>
    <row r="6" spans="1:19" s="27" customFormat="1" x14ac:dyDescent="0.25">
      <c r="A6" s="28" t="s">
        <v>114</v>
      </c>
      <c r="B6" s="28" t="s">
        <v>50</v>
      </c>
      <c r="C6" s="28" t="s">
        <v>140</v>
      </c>
      <c r="D6" s="28" t="s">
        <v>115</v>
      </c>
      <c r="E6" s="55" t="s">
        <v>116</v>
      </c>
      <c r="F6" s="28" t="s">
        <v>17</v>
      </c>
      <c r="G6" s="28" t="s">
        <v>106</v>
      </c>
      <c r="H6" s="28" t="s">
        <v>107</v>
      </c>
      <c r="I6" s="28">
        <v>0</v>
      </c>
      <c r="J6" s="28">
        <v>1</v>
      </c>
      <c r="K6" s="28">
        <v>1</v>
      </c>
      <c r="L6" s="49">
        <v>300</v>
      </c>
      <c r="M6" s="49">
        <v>1200</v>
      </c>
      <c r="N6" s="49">
        <v>300</v>
      </c>
      <c r="O6" s="49">
        <v>1500</v>
      </c>
      <c r="P6" s="49">
        <v>7250</v>
      </c>
      <c r="Q6" s="49">
        <v>7250</v>
      </c>
      <c r="R6" s="49">
        <v>0</v>
      </c>
      <c r="S6" s="28" t="s">
        <v>146</v>
      </c>
    </row>
    <row r="7" spans="1:19" x14ac:dyDescent="0.25">
      <c r="A7" s="29" t="s">
        <v>114</v>
      </c>
      <c r="B7" s="29" t="s">
        <v>50</v>
      </c>
      <c r="C7" s="29" t="s">
        <v>147</v>
      </c>
      <c r="D7" s="29" t="s">
        <v>118</v>
      </c>
      <c r="E7" s="46" t="s">
        <v>104</v>
      </c>
      <c r="F7" s="29" t="s">
        <v>31</v>
      </c>
      <c r="G7" s="29" t="s">
        <v>108</v>
      </c>
      <c r="H7" s="29" t="s">
        <v>110</v>
      </c>
      <c r="J7" s="29">
        <v>0</v>
      </c>
      <c r="K7" s="29">
        <v>0</v>
      </c>
      <c r="L7" s="31"/>
      <c r="M7" s="31"/>
      <c r="N7" s="53">
        <v>0</v>
      </c>
      <c r="O7" s="53">
        <v>0</v>
      </c>
      <c r="P7" s="31"/>
      <c r="Q7" s="53">
        <v>0</v>
      </c>
      <c r="R7" s="31"/>
      <c r="S7" s="29" t="s">
        <v>151</v>
      </c>
    </row>
  </sheetData>
  <autoFilter ref="A1:S1"/>
  <pageMargins left="0.25" right="0.25" top="0.5" bottom="0.5" header="0.2" footer="0.2"/>
  <pageSetup orientation="landscape" fitToWidth="1" fitToHeight="0"/>
  <headerFooter>
    <oddFooter>COSAIF Comercial · Confidencial · Página &amp;P de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"/>
  <sheetViews>
    <sheetView workbookViewId="0" showGridLines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0" customWidth="1"/>
    <col min="2" max="2" width="27" customWidth="1"/>
    <col min="3" max="3" width="30" customWidth="1"/>
    <col min="4" max="4" width="20" customWidth="1"/>
    <col min="5" max="5" width="16" customWidth="1"/>
    <col min="6" max="6" width="20" customWidth="1"/>
    <col min="7" max="8" width="24" customWidth="1"/>
    <col min="9" max="11" width="19" style="44" customWidth="1"/>
    <col min="12" max="13" width="22" customWidth="1"/>
    <col min="14" max="14" width="16" customWidth="1"/>
    <col min="15" max="15" width="22" customWidth="1"/>
    <col min="16" max="16" width="13" customWidth="1"/>
    <col min="17" max="17" width="16" customWidth="1"/>
    <col min="18" max="18" width="16" style="31" customWidth="1"/>
    <col min="19" max="19" width="18" style="31" customWidth="1"/>
  </cols>
  <sheetData>
    <row r="1" ht="28" customHeight="1" spans="1:19" x14ac:dyDescent="0.25">
      <c r="A1" s="26" t="s">
        <v>83</v>
      </c>
      <c r="B1" s="26" t="s">
        <v>46</v>
      </c>
      <c r="C1" s="26" t="s">
        <v>66</v>
      </c>
      <c r="D1" s="26" t="s">
        <v>70</v>
      </c>
      <c r="E1" s="26" t="s">
        <v>86</v>
      </c>
      <c r="F1" s="26" t="s">
        <v>177</v>
      </c>
      <c r="G1" s="26" t="s">
        <v>178</v>
      </c>
      <c r="H1" s="26" t="s">
        <v>179</v>
      </c>
      <c r="I1" s="45" t="s">
        <v>180</v>
      </c>
      <c r="J1" s="45" t="s">
        <v>68</v>
      </c>
      <c r="K1" s="45" t="s">
        <v>69</v>
      </c>
      <c r="L1" s="26" t="s">
        <v>181</v>
      </c>
      <c r="M1" s="26" t="s">
        <v>182</v>
      </c>
      <c r="N1" s="26" t="s">
        <v>67</v>
      </c>
      <c r="O1" s="26" t="s">
        <v>49</v>
      </c>
      <c r="P1" s="26" t="s">
        <v>159</v>
      </c>
      <c r="Q1" s="26" t="s">
        <v>183</v>
      </c>
      <c r="R1" s="33" t="s">
        <v>184</v>
      </c>
      <c r="S1" s="33" t="s">
        <v>185</v>
      </c>
    </row>
    <row r="2" spans="1:19" s="27" customFormat="1" x14ac:dyDescent="0.25">
      <c r="A2" s="28" t="s">
        <v>114</v>
      </c>
      <c r="B2" s="28" t="s">
        <v>50</v>
      </c>
      <c r="C2" s="28" t="s">
        <v>140</v>
      </c>
      <c r="D2" s="28" t="s">
        <v>115</v>
      </c>
      <c r="E2" s="28" t="s">
        <v>16</v>
      </c>
      <c r="F2" s="28" t="s">
        <v>186</v>
      </c>
      <c r="G2" s="28" t="s">
        <v>187</v>
      </c>
      <c r="H2" s="28" t="s">
        <v>188</v>
      </c>
      <c r="I2" s="56">
        <v>46357.5</v>
      </c>
      <c r="J2" s="50"/>
      <c r="K2" s="56">
        <v>46357.54166666667</v>
      </c>
      <c r="L2" s="28" t="s">
        <v>189</v>
      </c>
      <c r="M2" s="28" t="s">
        <v>190</v>
      </c>
      <c r="N2" s="28" t="s">
        <v>102</v>
      </c>
      <c r="O2" s="28" t="s">
        <v>51</v>
      </c>
      <c r="P2" s="28">
        <v>4</v>
      </c>
      <c r="Q2" s="28">
        <v>1</v>
      </c>
      <c r="R2" s="49">
        <v>750</v>
      </c>
      <c r="S2" s="49">
        <v>750</v>
      </c>
    </row>
    <row r="3" spans="1:19" x14ac:dyDescent="0.25">
      <c r="A3" s="29" t="s">
        <v>114</v>
      </c>
      <c r="B3" s="29" t="s">
        <v>50</v>
      </c>
      <c r="C3" s="29" t="s">
        <v>140</v>
      </c>
      <c r="D3" s="29" t="s">
        <v>115</v>
      </c>
      <c r="E3" s="29" t="s">
        <v>17</v>
      </c>
      <c r="F3" s="29" t="s">
        <v>186</v>
      </c>
      <c r="G3" s="29" t="s">
        <v>187</v>
      </c>
      <c r="H3" s="29" t="s">
        <v>188</v>
      </c>
      <c r="I3" s="54">
        <v>46357.5</v>
      </c>
      <c r="J3" s="44"/>
      <c r="K3" s="54">
        <v>46357.54166666667</v>
      </c>
      <c r="L3" s="29" t="s">
        <v>189</v>
      </c>
      <c r="M3" s="29" t="s">
        <v>190</v>
      </c>
      <c r="N3" s="29" t="s">
        <v>102</v>
      </c>
      <c r="O3" s="29" t="s">
        <v>51</v>
      </c>
      <c r="P3" s="29">
        <v>1</v>
      </c>
      <c r="Q3" s="29">
        <v>1</v>
      </c>
      <c r="R3" s="53">
        <v>300</v>
      </c>
      <c r="S3" s="53">
        <v>300</v>
      </c>
    </row>
  </sheetData>
  <autoFilter ref="A1:S1"/>
  <pageMargins left="0.25" right="0.25" top="0.5" bottom="0.5" header="0.2" footer="0.2"/>
  <pageSetup orientation="landscape" fitToWidth="1" fitToHeight="0"/>
  <headerFooter>
    <oddFooter>COSAIF Comercial · Confidencial · Página &amp;P de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"/>
  <sheetViews>
    <sheetView workbookViewId="0" showGridLines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0" customWidth="1"/>
    <col min="2" max="2" width="28" customWidth="1"/>
    <col min="3" max="3" width="32" customWidth="1"/>
    <col min="4" max="5" width="20" customWidth="1"/>
    <col min="6" max="6" width="16" customWidth="1"/>
    <col min="7" max="7" width="12" customWidth="1"/>
    <col min="8" max="8" width="18" style="30" customWidth="1"/>
    <col min="9" max="9" width="18" style="31" customWidth="1"/>
    <col min="10" max="10" width="24" customWidth="1"/>
    <col min="11" max="11" width="18" customWidth="1"/>
    <col min="12" max="12" width="17" customWidth="1"/>
    <col min="13" max="13" width="19" style="44" customWidth="1"/>
  </cols>
  <sheetData>
    <row r="1" ht="28" customHeight="1" spans="1:13" x14ac:dyDescent="0.25">
      <c r="A1" s="26" t="s">
        <v>83</v>
      </c>
      <c r="B1" s="26" t="s">
        <v>46</v>
      </c>
      <c r="C1" s="26" t="s">
        <v>66</v>
      </c>
      <c r="D1" s="26" t="s">
        <v>70</v>
      </c>
      <c r="E1" s="26" t="s">
        <v>130</v>
      </c>
      <c r="F1" s="26" t="s">
        <v>95</v>
      </c>
      <c r="G1" s="26" t="s">
        <v>191</v>
      </c>
      <c r="H1" s="32" t="s">
        <v>192</v>
      </c>
      <c r="I1" s="33" t="s">
        <v>193</v>
      </c>
      <c r="J1" s="26" t="s">
        <v>178</v>
      </c>
      <c r="K1" s="26" t="s">
        <v>194</v>
      </c>
      <c r="L1" s="26" t="s">
        <v>195</v>
      </c>
      <c r="M1" s="45" t="s">
        <v>196</v>
      </c>
    </row>
    <row r="2" spans="1:13" s="27" customFormat="1" x14ac:dyDescent="0.25">
      <c r="A2" s="28" t="s">
        <v>114</v>
      </c>
      <c r="B2" s="28" t="s">
        <v>50</v>
      </c>
      <c r="C2" s="28" t="s">
        <v>140</v>
      </c>
      <c r="D2" s="28" t="s">
        <v>115</v>
      </c>
      <c r="E2" s="28" t="s">
        <v>155</v>
      </c>
      <c r="F2" s="55" t="s">
        <v>116</v>
      </c>
      <c r="G2" s="28">
        <v>81</v>
      </c>
      <c r="H2" s="34">
        <v>46402</v>
      </c>
      <c r="I2" s="49">
        <v>7250</v>
      </c>
      <c r="J2" s="28" t="s">
        <v>197</v>
      </c>
      <c r="K2" s="28" t="s">
        <v>198</v>
      </c>
      <c r="L2" s="28">
        <v>9</v>
      </c>
      <c r="M2" s="56">
        <v>46402.680555555555</v>
      </c>
    </row>
  </sheetData>
  <autoFilter ref="A1:M1"/>
  <pageMargins left="0.25" right="0.25" top="0.5" bottom="0.5" header="0.2" footer="0.2"/>
  <pageSetup orientation="landscape" fitToWidth="1" fitToHeight="0"/>
  <headerFooter>
    <oddFooter>COSAIF Comercial · Confidencial · Página &amp;P de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"/>
  <sheetViews>
    <sheetView workbookViewId="0" showGridLines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0" customWidth="1"/>
    <col min="2" max="2" width="28" customWidth="1"/>
    <col min="3" max="3" width="32" customWidth="1"/>
    <col min="4" max="4" width="20" customWidth="1"/>
    <col min="5" max="5" width="24" customWidth="1"/>
    <col min="6" max="7" width="18" customWidth="1"/>
    <col min="8" max="8" width="28" customWidth="1"/>
    <col min="9" max="9" width="13" customWidth="1"/>
    <col min="10" max="10" width="18" customWidth="1"/>
    <col min="11" max="11" width="20" style="44" customWidth="1"/>
    <col min="12" max="12" width="70" style="74" customWidth="1"/>
  </cols>
  <sheetData>
    <row r="1" ht="28" customHeight="1" spans="1:12" x14ac:dyDescent="0.25">
      <c r="A1" s="26" t="s">
        <v>83</v>
      </c>
      <c r="B1" s="26" t="s">
        <v>46</v>
      </c>
      <c r="C1" s="26" t="s">
        <v>66</v>
      </c>
      <c r="D1" s="26" t="s">
        <v>70</v>
      </c>
      <c r="E1" s="26" t="s">
        <v>199</v>
      </c>
      <c r="F1" s="26" t="s">
        <v>200</v>
      </c>
      <c r="G1" s="26" t="s">
        <v>201</v>
      </c>
      <c r="H1" s="26" t="s">
        <v>202</v>
      </c>
      <c r="I1" s="26" t="s">
        <v>203</v>
      </c>
      <c r="J1" s="26" t="s">
        <v>204</v>
      </c>
      <c r="K1" s="45" t="s">
        <v>205</v>
      </c>
      <c r="L1" s="75" t="s">
        <v>206</v>
      </c>
    </row>
    <row r="2" ht="34" customHeight="1" spans="1:12" s="27" customFormat="1" x14ac:dyDescent="0.25">
      <c r="A2" s="28" t="s">
        <v>114</v>
      </c>
      <c r="B2" s="28" t="s">
        <v>50</v>
      </c>
      <c r="C2" s="28" t="s">
        <v>140</v>
      </c>
      <c r="D2" s="28" t="s">
        <v>115</v>
      </c>
      <c r="E2" s="28" t="s">
        <v>207</v>
      </c>
      <c r="F2" s="28" t="s">
        <v>164</v>
      </c>
      <c r="G2" s="55" t="s">
        <v>116</v>
      </c>
      <c r="H2" s="28" t="s">
        <v>208</v>
      </c>
      <c r="I2" s="28">
        <v>9</v>
      </c>
      <c r="J2" s="28" t="s">
        <v>209</v>
      </c>
      <c r="K2" s="56">
        <v>46402.680555555555</v>
      </c>
      <c r="L2" s="76" t="s">
        <v>210</v>
      </c>
    </row>
  </sheetData>
  <autoFilter ref="A1:L1"/>
  <pageMargins left="0.25" right="0.25" top="0.5" bottom="0.5" header="0.2" footer="0.2"/>
  <pageSetup orientation="landscape" fitToWidth="1" fitToHeight="0"/>
  <headerFooter>
    <oddFooter>COSAIF Comercial · Confidencial · Página &amp;P de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"/>
  <sheetViews>
    <sheetView workbookViewId="0" showGridLines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3" customWidth="1"/>
    <col min="3" max="3" width="22" customWidth="1"/>
    <col min="4" max="4" width="27" customWidth="1"/>
    <col min="5" max="5" width="22" customWidth="1"/>
    <col min="6" max="6" width="14" customWidth="1"/>
    <col min="7" max="7" width="12" customWidth="1"/>
    <col min="8" max="8" width="25" customWidth="1"/>
    <col min="9" max="9" width="16" customWidth="1"/>
    <col min="10" max="11" width="18" style="44" customWidth="1"/>
    <col min="12" max="12" width="12" customWidth="1"/>
  </cols>
  <sheetData>
    <row r="1" ht="28" customHeight="1" spans="1:12" x14ac:dyDescent="0.25">
      <c r="A1" s="26" t="s">
        <v>211</v>
      </c>
      <c r="B1" s="26" t="s">
        <v>212</v>
      </c>
      <c r="C1" s="26" t="s">
        <v>178</v>
      </c>
      <c r="D1" s="26" t="s">
        <v>46</v>
      </c>
      <c r="E1" s="26" t="s">
        <v>49</v>
      </c>
      <c r="F1" s="26" t="s">
        <v>213</v>
      </c>
      <c r="G1" s="26" t="s">
        <v>59</v>
      </c>
      <c r="H1" s="26" t="s">
        <v>120</v>
      </c>
      <c r="I1" s="26" t="s">
        <v>67</v>
      </c>
      <c r="J1" s="45" t="s">
        <v>180</v>
      </c>
      <c r="K1" s="45" t="s">
        <v>214</v>
      </c>
      <c r="L1" s="26" t="s">
        <v>215</v>
      </c>
    </row>
    <row r="2" spans="1:12" s="27" customFormat="1" x14ac:dyDescent="0.25">
      <c r="A2" s="28" t="s">
        <v>216</v>
      </c>
      <c r="B2" s="28" t="s">
        <v>99</v>
      </c>
      <c r="C2" s="28" t="s">
        <v>187</v>
      </c>
      <c r="D2" s="28" t="s">
        <v>50</v>
      </c>
      <c r="E2" s="28" t="s">
        <v>51</v>
      </c>
      <c r="F2" s="27"/>
      <c r="G2" s="28">
        <v>4</v>
      </c>
      <c r="H2" s="28" t="s">
        <v>217</v>
      </c>
      <c r="I2" s="28" t="s">
        <v>102</v>
      </c>
      <c r="J2" s="56">
        <v>46357.5</v>
      </c>
      <c r="K2" s="56">
        <v>46357.54166666667</v>
      </c>
      <c r="L2" s="28">
        <v>0</v>
      </c>
    </row>
  </sheetData>
  <autoFilter ref="A1:L1"/>
  <pageMargins left="0.25" right="0.25" top="0.5" bottom="0.5" header="0.2" footer="0.2"/>
  <pageSetup orientation="landscape" fitToWidth="1" fitToHeight="0"/>
  <headerFooter>
    <oddFooter>COSAIF Comercial · Confidencial · Página &amp;P de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3"/>
  <sheetViews>
    <sheetView workbookViewId="0" showGridLines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30" customWidth="1"/>
    <col min="2" max="2" width="90" style="74" customWidth="1"/>
  </cols>
  <sheetData>
    <row r="1" ht="28" customHeight="1" spans="1:2" x14ac:dyDescent="0.25">
      <c r="A1" s="26" t="s">
        <v>218</v>
      </c>
      <c r="B1" s="75" t="s">
        <v>219</v>
      </c>
    </row>
    <row r="2" ht="34" customHeight="1" spans="1:2" s="27" customFormat="1" x14ac:dyDescent="0.25">
      <c r="A2" s="28" t="s">
        <v>220</v>
      </c>
      <c r="B2" s="76" t="s">
        <v>221</v>
      </c>
    </row>
    <row r="3" ht="34" customHeight="1" spans="1:2" x14ac:dyDescent="0.25">
      <c r="A3" s="29" t="s">
        <v>31</v>
      </c>
      <c r="B3" s="77" t="s">
        <v>222</v>
      </c>
    </row>
    <row r="4" ht="34" customHeight="1" spans="1:2" s="27" customFormat="1" x14ac:dyDescent="0.25">
      <c r="A4" s="28" t="s">
        <v>16</v>
      </c>
      <c r="B4" s="76" t="s">
        <v>223</v>
      </c>
    </row>
    <row r="5" ht="34" customHeight="1" spans="1:2" x14ac:dyDescent="0.25">
      <c r="A5" s="29" t="s">
        <v>224</v>
      </c>
      <c r="B5" s="77" t="s">
        <v>225</v>
      </c>
    </row>
    <row r="6" ht="34" customHeight="1" spans="1:2" s="27" customFormat="1" x14ac:dyDescent="0.25">
      <c r="A6" s="28" t="s">
        <v>226</v>
      </c>
      <c r="B6" s="76" t="s">
        <v>227</v>
      </c>
    </row>
    <row r="7" ht="34" customHeight="1" spans="1:2" x14ac:dyDescent="0.25">
      <c r="A7" s="29" t="s">
        <v>228</v>
      </c>
      <c r="B7" s="77" t="s">
        <v>229</v>
      </c>
    </row>
    <row r="8" ht="34" customHeight="1" spans="1:2" s="27" customFormat="1" x14ac:dyDescent="0.25">
      <c r="A8" s="28" t="s">
        <v>230</v>
      </c>
      <c r="B8" s="76" t="s">
        <v>231</v>
      </c>
    </row>
    <row r="9" ht="34" customHeight="1" spans="1:2" x14ac:dyDescent="0.25">
      <c r="A9" s="29" t="s">
        <v>232</v>
      </c>
      <c r="B9" s="77" t="s">
        <v>233</v>
      </c>
    </row>
    <row r="10" ht="34" customHeight="1" spans="1:2" s="27" customFormat="1" x14ac:dyDescent="0.25">
      <c r="A10" s="28" t="s">
        <v>234</v>
      </c>
      <c r="B10" s="76" t="s">
        <v>235</v>
      </c>
    </row>
    <row r="11" ht="34" customHeight="1" spans="1:2" x14ac:dyDescent="0.25">
      <c r="A11" s="29" t="s">
        <v>236</v>
      </c>
      <c r="B11" s="77" t="s">
        <v>237</v>
      </c>
    </row>
    <row r="12" ht="34" customHeight="1" spans="1:2" s="27" customFormat="1" x14ac:dyDescent="0.25">
      <c r="A12" s="28" t="s">
        <v>238</v>
      </c>
      <c r="B12" s="76" t="s">
        <v>239</v>
      </c>
    </row>
    <row r="13" ht="34" customHeight="1" spans="1:2" x14ac:dyDescent="0.25">
      <c r="A13" s="29" t="s">
        <v>240</v>
      </c>
      <c r="B13" s="77" t="s">
        <v>241</v>
      </c>
    </row>
  </sheetData>
  <autoFilter ref="A1:B1"/>
  <pageMargins left="0.25" right="0.25" top="0.5" bottom="0.5" header="0.2" footer="0.2"/>
  <pageSetup orientation="landscape" fitToWidth="1" fitToHeight="0"/>
  <headerFooter>
    <oddFooter>COSAIF Comercial · Confidencial · 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Resumen</vt:lpstr>
      <vt:lpstr>Naturales</vt:lpstr>
      <vt:lpstr>Arrastre</vt:lpstr>
      <vt:lpstr>Tendencia del periodo</vt:lpstr>
      <vt:lpstr>Volumen por patio</vt:lpstr>
      <vt:lpstr>Cartera de clientes</vt:lpstr>
      <vt:lpstr>Contratos</vt:lpstr>
      <vt:lpstr>Cumplimiento contractual</vt:lpstr>
      <vt:lpstr>Cortes y estados</vt:lpstr>
      <vt:lpstr>Control financiero</vt:lpstr>
      <vt:lpstr>Detalle financiero</vt:lpstr>
      <vt:lpstr>Excedentes cobrables</vt:lpstr>
      <vt:lpstr>Pagos registrados</vt:lpstr>
      <vt:lpstr>Historial de cortes</vt:lpstr>
      <vt:lpstr>Operaciones auditables</vt:lpstr>
      <vt:lpstr>Guía del archivo</vt:lpstr>
    </vt:vector>
  </TitlesOfParts>
  <Company>Vianko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COSAIF Comercial</dc:creator>
  <dc:title>COSAIF Comercial · Alstom</dc:title>
  <dc:subject>Analítica comercial, contratos y control de movimientos</dc:subject>
  <dc:description/>
  <cp:keywords/>
  <cp:category/>
  <cp:lastModifiedBy>Unknown</cp:lastModifiedBy>
  <dcterms:created xsi:type="dcterms:W3CDTF">2026-07-22T19:44:47Z</dcterms:created>
  <dcterms:modified xsi:type="dcterms:W3CDTF">2026-07-22T19:44:47Z</dcterms:modified>
</cp:coreProperties>
</file>